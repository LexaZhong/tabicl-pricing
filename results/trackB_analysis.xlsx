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Q1 Thin data" sheetId="2" state="visible" r:id="rId2"/>
    <sheet name="Q2 Censored regions" sheetId="3" state="visible" r:id="rId3"/>
    <sheet name="Q3 Feature engineer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4">
    <font>
      <name val="Calibri"/>
      <family val="2"/>
      <color theme="1"/>
      <sz val="11"/>
      <scheme val="minor"/>
    </font>
    <font>
      <b val="1"/>
      <color rgb="000B0B0B"/>
      <sz val="16"/>
    </font>
    <font>
      <i val="1"/>
      <color rgb="007B7A75"/>
      <sz val="9"/>
    </font>
    <font>
      <b val="1"/>
      <color rgb="000B0B0B"/>
      <sz val="13"/>
    </font>
    <font>
      <b val="1"/>
      <color rgb="000B0B0B"/>
      <sz val="9"/>
    </font>
    <font>
      <color rgb="000B0B0B"/>
      <sz val="9"/>
    </font>
    <font>
      <name val="Consolas"/>
      <sz val="9"/>
    </font>
    <font>
      <b val="1"/>
      <color rgb="000B0B0B"/>
      <sz val="12"/>
    </font>
    <font>
      <b val="1"/>
      <color rgb="000B0B0B"/>
      <sz val="15"/>
    </font>
    <font>
      <b val="1"/>
      <color rgb="000B0B0B"/>
      <sz val="10"/>
    </font>
    <font>
      <name val="Consolas"/>
      <b val="1"/>
      <color rgb="002A78D6"/>
      <sz val="9"/>
    </font>
    <font>
      <b val="1"/>
      <sz val="10"/>
    </font>
    <font>
      <b val="1"/>
      <sz val="8"/>
    </font>
    <font>
      <b val="1"/>
      <color rgb="000B0B0B"/>
      <sz val="11"/>
    </font>
  </fonts>
  <fills count="3">
    <fill>
      <patternFill/>
    </fill>
    <fill>
      <patternFill patternType="gray125"/>
    </fill>
    <fill>
      <patternFill patternType="solid">
        <fgColor rgb="00ECECEA"/>
      </patternFill>
    </fill>
  </fills>
  <borders count="2">
    <border>
      <left/>
      <right/>
      <top/>
      <bottom/>
      <diagonal/>
    </border>
    <border>
      <left style="thin">
        <color rgb="00DCDCD7"/>
      </left>
      <right style="thin">
        <color rgb="00DCDCD7"/>
      </right>
      <top style="thin">
        <color rgb="00DCDCD7"/>
      </top>
      <bottom style="thin">
        <color rgb="00DCDCD7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wrapText="1"/>
    </xf>
    <xf numFmtId="0" fontId="4" fillId="2" borderId="1" applyAlignment="1" pivotButton="0" quotePrefix="0" xfId="0">
      <alignment horizontal="center" wrapText="1"/>
    </xf>
    <xf numFmtId="0" fontId="5" fillId="0" borderId="1" pivotButton="0" quotePrefix="0" xfId="0"/>
    <xf numFmtId="0" fontId="6" fillId="0" borderId="1" applyAlignment="1" pivotButton="0" quotePrefix="0" xfId="0">
      <alignment horizontal="right"/>
    </xf>
    <xf numFmtId="164" fontId="6" fillId="0" borderId="1" applyAlignment="1" pivotButton="0" quotePrefix="0" xfId="0">
      <alignment horizontal="right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10" fillId="0" borderId="1" applyAlignment="1" pivotButton="0" quotePrefix="0" xfId="0">
      <alignment horizontal="right"/>
    </xf>
    <xf numFmtId="0" fontId="11" fillId="0" borderId="0" pivotButton="0" quotePrefix="0" xfId="0"/>
    <xf numFmtId="0" fontId="12" fillId="0" borderId="0" pivotButton="0" quotePrefix="0" xfId="0"/>
    <xf numFmtId="2" fontId="6" fillId="0" borderId="1" applyAlignment="1" pivotButton="0" quotePrefix="0" xfId="0">
      <alignment horizontal="right"/>
    </xf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Total-loss Gini distribution, N = 5,000</a:t>
            </a:r>
          </a:p>
        </rich>
      </tx>
    </title>
    <plotArea>
      <scatterChart>
        <ser>
          <idx val="0"/>
          <order val="0"/>
          <tx>
            <strRef>
              <f>'Q1 Thin data'!B105</f>
            </strRef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spPr>
          </marker>
          <xVal>
            <numRef>
              <f>'Q1 Thin data'!$I$106:$I$125</f>
            </numRef>
          </xVal>
          <yVal>
            <numRef>
              <f>'Q1 Thin data'!$B$106:$B$125</f>
            </numRef>
          </yVal>
          <smooth val="0"/>
        </ser>
        <ser>
          <idx val="1"/>
          <order val="1"/>
          <tx>
            <strRef>
              <f>'Q1 Thin data'!C105</f>
            </strRef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EB6834"/>
              </a:solidFill>
              <a:ln>
                <a:solidFill>
                  <a:srgbClr val="EB6834"/>
                </a:solidFill>
                <a:prstDash val="solid"/>
              </a:ln>
            </spPr>
          </marker>
          <xVal>
            <numRef>
              <f>'Q1 Thin data'!$J$106:$J$125</f>
            </numRef>
          </xVal>
          <yVal>
            <numRef>
              <f>'Q1 Thin data'!$C$106:$C$125</f>
            </numRef>
          </yVal>
          <smooth val="0"/>
        </ser>
        <ser>
          <idx val="2"/>
          <order val="2"/>
          <tx>
            <strRef>
              <f>'Q1 Thin data'!D105</f>
            </strRef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1BAF7A"/>
              </a:solidFill>
              <a:ln>
                <a:solidFill>
                  <a:srgbClr val="1BAF7A"/>
                </a:solidFill>
                <a:prstDash val="solid"/>
              </a:ln>
            </spPr>
          </marker>
          <xVal>
            <numRef>
              <f>'Q1 Thin data'!$K$106:$K$125</f>
            </numRef>
          </xVal>
          <yVal>
            <numRef>
              <f>'Q1 Thin data'!$D$106:$D$125</f>
            </numRef>
          </yVal>
          <smooth val="0"/>
        </ser>
        <ser>
          <idx val="3"/>
          <order val="3"/>
          <tx>
            <strRef>
              <f>'Q1 Thin data'!E105</f>
            </strRef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EDA100"/>
              </a:solidFill>
              <a:ln>
                <a:solidFill>
                  <a:srgbClr val="EDA100"/>
                </a:solidFill>
                <a:prstDash val="solid"/>
              </a:ln>
            </spPr>
          </marker>
          <xVal>
            <numRef>
              <f>'Q1 Thin data'!$L$106:$L$125</f>
            </numRef>
          </xVal>
          <yVal>
            <numRef>
              <f>'Q1 Thin data'!$E$106:$E$125</f>
            </numRef>
          </yVal>
          <smooth val="0"/>
        </ser>
        <ser>
          <idx val="4"/>
          <order val="4"/>
          <tx>
            <strRef>
              <f>'Q1 Thin data'!F105</f>
            </strRef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E87BA4"/>
              </a:solidFill>
              <a:ln>
                <a:solidFill>
                  <a:srgbClr val="E87BA4"/>
                </a:solidFill>
                <a:prstDash val="solid"/>
              </a:ln>
            </spPr>
          </marker>
          <xVal>
            <numRef>
              <f>'Q1 Thin data'!$M$106:$M$125</f>
            </numRef>
          </xVal>
          <yVal>
            <numRef>
              <f>'Q1 Thin data'!$F$106:$F$125</f>
            </numRef>
          </yVal>
          <smooth val="0"/>
        </ser>
        <axId val="10"/>
        <axId val="20"/>
      </scatterChart>
      <valAx>
        <axId val="10"/>
        <scaling>
          <orientation val="minMax"/>
          <max val="6"/>
          <min val="0"/>
        </scaling>
        <delete val="1"/>
        <axPos val="l"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Gini on total loss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Lift, N = 5,000 — loss cost (lines) vs exposure (bars)</a:t>
            </a:r>
          </a:p>
        </rich>
      </tx>
    </title>
    <plotArea>
      <lineChart>
        <grouping val="standard"/>
        <ser>
          <idx val="0"/>
          <order val="0"/>
          <tx>
            <strRef>
              <f>'Q1 Thin data'!C128</f>
            </strRef>
          </tx>
          <spPr>
            <a:ln w="22000">
              <a:solidFill>
                <a:srgbClr val="0B0B0B"/>
              </a:solidFill>
              <a:prstDash val="solid"/>
            </a:ln>
          </spPr>
          <marker>
            <symbol val="circle"/>
            <size val="6"/>
            <spPr>
              <a:solidFill>
                <a:srgbClr val="0B0B0B"/>
              </a:solidFill>
              <a:ln>
                <a:solidFill>
                  <a:srgbClr val="0B0B0B"/>
                </a:solidFill>
                <a:prstDash val="solid"/>
              </a:ln>
            </spPr>
          </marker>
          <cat>
            <numRef>
              <f>'Q1 Thin data'!$A$129:$A$138</f>
            </numRef>
          </cat>
          <val>
            <numRef>
              <f>'Q1 Thin data'!$C$129:$C$138</f>
            </numRef>
          </val>
          <smooth val="0"/>
        </ser>
        <ser>
          <idx val="1"/>
          <order val="1"/>
          <tx>
            <strRef>
              <f>'Q1 Thin data'!D128</f>
            </strRef>
          </tx>
          <spPr>
            <a:ln w="22000">
              <a:solidFill>
                <a:srgbClr val="2A78D6"/>
              </a:solidFill>
              <a:prstDash val="solid"/>
            </a:ln>
          </spPr>
          <marker>
            <symbol val="circle"/>
            <size val="6"/>
            <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spPr>
          </marker>
          <cat>
            <numRef>
              <f>'Q1 Thin data'!$A$129:$A$138</f>
            </numRef>
          </cat>
          <val>
            <numRef>
              <f>'Q1 Thin data'!$D$129:$D$138</f>
            </numRef>
          </val>
          <smooth val="0"/>
        </ser>
        <ser>
          <idx val="2"/>
          <order val="2"/>
          <tx>
            <strRef>
              <f>'Q1 Thin data'!E128</f>
            </strRef>
          </tx>
          <spPr>
            <a:ln w="22000">
              <a:solidFill>
                <a:srgbClr val="EB6834"/>
              </a:solidFill>
              <a:prstDash val="solid"/>
            </a:ln>
          </spPr>
          <marker>
            <symbol val="circle"/>
            <size val="6"/>
            <spPr>
              <a:solidFill>
                <a:srgbClr val="EB6834"/>
              </a:solidFill>
              <a:ln>
                <a:solidFill>
                  <a:srgbClr val="EB6834"/>
                </a:solidFill>
                <a:prstDash val="solid"/>
              </a:ln>
            </spPr>
          </marker>
          <cat>
            <numRef>
              <f>'Q1 Thin data'!$A$129:$A$138</f>
            </numRef>
          </cat>
          <val>
            <numRef>
              <f>'Q1 Thin data'!$E$129:$E$138</f>
            </numRef>
          </val>
          <smooth val="0"/>
        </ser>
        <axId val="10"/>
        <axId val="100"/>
      </lineChart>
      <barChart>
        <barDir val="col"/>
        <grouping val="clustered"/>
        <ser>
          <idx val="3"/>
          <order val="3"/>
          <tx>
            <strRef>
              <f>'Q1 Thin data'!B128</f>
            </strRef>
          </tx>
          <spPr>
            <a:solidFill>
              <a:srgbClr val="D8D8D3"/>
            </a:solidFill>
            <a:ln>
              <a:noFill/>
              <a:prstDash val="solid"/>
            </a:ln>
          </spPr>
          <val>
            <numRef>
              <f>'Q1 Thin data'!$B$129:$B$138</f>
            </numRef>
          </val>
        </ser>
        <gapWidth val="60"/>
        <axId val="10"/>
        <axId val="2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equal-exposure bucket (ordered by predicted)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loss cost per unit exposure</a:t>
                </a:r>
              </a:p>
            </rich>
          </tx>
        </title>
        <majorTickMark val="none"/>
        <minorTickMark val="none"/>
        <crossAx val="10"/>
        <crosses val="max"/>
      </valAx>
      <valAx>
        <axId val="2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exposure in bucket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Total-loss Gini distribution, N = 10,000</a:t>
            </a:r>
          </a:p>
        </rich>
      </tx>
    </title>
    <plotArea>
      <scatterChart>
        <ser>
          <idx val="0"/>
          <order val="0"/>
          <tx>
            <strRef>
              <f>'Q1 Thin data'!B150</f>
            </strRef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spPr>
          </marker>
          <xVal>
            <numRef>
              <f>'Q1 Thin data'!$I$151:$I$170</f>
            </numRef>
          </xVal>
          <yVal>
            <numRef>
              <f>'Q1 Thin data'!$B$151:$B$170</f>
            </numRef>
          </yVal>
          <smooth val="0"/>
        </ser>
        <ser>
          <idx val="1"/>
          <order val="1"/>
          <tx>
            <strRef>
              <f>'Q1 Thin data'!C150</f>
            </strRef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EB6834"/>
              </a:solidFill>
              <a:ln>
                <a:solidFill>
                  <a:srgbClr val="EB6834"/>
                </a:solidFill>
                <a:prstDash val="solid"/>
              </a:ln>
            </spPr>
          </marker>
          <xVal>
            <numRef>
              <f>'Q1 Thin data'!$J$151:$J$170</f>
            </numRef>
          </xVal>
          <yVal>
            <numRef>
              <f>'Q1 Thin data'!$C$151:$C$170</f>
            </numRef>
          </yVal>
          <smooth val="0"/>
        </ser>
        <ser>
          <idx val="2"/>
          <order val="2"/>
          <tx>
            <strRef>
              <f>'Q1 Thin data'!D150</f>
            </strRef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1BAF7A"/>
              </a:solidFill>
              <a:ln>
                <a:solidFill>
                  <a:srgbClr val="1BAF7A"/>
                </a:solidFill>
                <a:prstDash val="solid"/>
              </a:ln>
            </spPr>
          </marker>
          <xVal>
            <numRef>
              <f>'Q1 Thin data'!$K$151:$K$170</f>
            </numRef>
          </xVal>
          <yVal>
            <numRef>
              <f>'Q1 Thin data'!$D$151:$D$170</f>
            </numRef>
          </yVal>
          <smooth val="0"/>
        </ser>
        <ser>
          <idx val="3"/>
          <order val="3"/>
          <tx>
            <strRef>
              <f>'Q1 Thin data'!E150</f>
            </strRef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EDA100"/>
              </a:solidFill>
              <a:ln>
                <a:solidFill>
                  <a:srgbClr val="EDA100"/>
                </a:solidFill>
                <a:prstDash val="solid"/>
              </a:ln>
            </spPr>
          </marker>
          <xVal>
            <numRef>
              <f>'Q1 Thin data'!$L$151:$L$170</f>
            </numRef>
          </xVal>
          <yVal>
            <numRef>
              <f>'Q1 Thin data'!$E$151:$E$170</f>
            </numRef>
          </yVal>
          <smooth val="0"/>
        </ser>
        <ser>
          <idx val="4"/>
          <order val="4"/>
          <tx>
            <strRef>
              <f>'Q1 Thin data'!F150</f>
            </strRef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E87BA4"/>
              </a:solidFill>
              <a:ln>
                <a:solidFill>
                  <a:srgbClr val="E87BA4"/>
                </a:solidFill>
                <a:prstDash val="solid"/>
              </a:ln>
            </spPr>
          </marker>
          <xVal>
            <numRef>
              <f>'Q1 Thin data'!$M$151:$M$170</f>
            </numRef>
          </xVal>
          <yVal>
            <numRef>
              <f>'Q1 Thin data'!$F$151:$F$170</f>
            </numRef>
          </yVal>
          <smooth val="0"/>
        </ser>
        <axId val="10"/>
        <axId val="20"/>
      </scatterChart>
      <valAx>
        <axId val="10"/>
        <scaling>
          <orientation val="minMax"/>
          <max val="6"/>
          <min val="0"/>
        </scaling>
        <delete val="1"/>
        <axPos val="l"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Gini on total loss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Lift, N = 10,000 — loss cost (lines) vs exposure (bars)</a:t>
            </a:r>
          </a:p>
        </rich>
      </tx>
    </title>
    <plotArea>
      <lineChart>
        <grouping val="standard"/>
        <ser>
          <idx val="0"/>
          <order val="0"/>
          <tx>
            <strRef>
              <f>'Q1 Thin data'!C173</f>
            </strRef>
          </tx>
          <spPr>
            <a:ln w="22000">
              <a:solidFill>
                <a:srgbClr val="0B0B0B"/>
              </a:solidFill>
              <a:prstDash val="solid"/>
            </a:ln>
          </spPr>
          <marker>
            <symbol val="circle"/>
            <size val="6"/>
            <spPr>
              <a:solidFill>
                <a:srgbClr val="0B0B0B"/>
              </a:solidFill>
              <a:ln>
                <a:solidFill>
                  <a:srgbClr val="0B0B0B"/>
                </a:solidFill>
                <a:prstDash val="solid"/>
              </a:ln>
            </spPr>
          </marker>
          <cat>
            <numRef>
              <f>'Q1 Thin data'!$A$174:$A$183</f>
            </numRef>
          </cat>
          <val>
            <numRef>
              <f>'Q1 Thin data'!$C$174:$C$183</f>
            </numRef>
          </val>
          <smooth val="0"/>
        </ser>
        <ser>
          <idx val="1"/>
          <order val="1"/>
          <tx>
            <strRef>
              <f>'Q1 Thin data'!D173</f>
            </strRef>
          </tx>
          <spPr>
            <a:ln w="22000">
              <a:solidFill>
                <a:srgbClr val="2A78D6"/>
              </a:solidFill>
              <a:prstDash val="solid"/>
            </a:ln>
          </spPr>
          <marker>
            <symbol val="circle"/>
            <size val="6"/>
            <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spPr>
          </marker>
          <cat>
            <numRef>
              <f>'Q1 Thin data'!$A$174:$A$183</f>
            </numRef>
          </cat>
          <val>
            <numRef>
              <f>'Q1 Thin data'!$D$174:$D$183</f>
            </numRef>
          </val>
          <smooth val="0"/>
        </ser>
        <ser>
          <idx val="2"/>
          <order val="2"/>
          <tx>
            <strRef>
              <f>'Q1 Thin data'!E173</f>
            </strRef>
          </tx>
          <spPr>
            <a:ln w="22000">
              <a:solidFill>
                <a:srgbClr val="EB6834"/>
              </a:solidFill>
              <a:prstDash val="solid"/>
            </a:ln>
          </spPr>
          <marker>
            <symbol val="circle"/>
            <size val="6"/>
            <spPr>
              <a:solidFill>
                <a:srgbClr val="EB6834"/>
              </a:solidFill>
              <a:ln>
                <a:solidFill>
                  <a:srgbClr val="EB6834"/>
                </a:solidFill>
                <a:prstDash val="solid"/>
              </a:ln>
            </spPr>
          </marker>
          <cat>
            <numRef>
              <f>'Q1 Thin data'!$A$174:$A$183</f>
            </numRef>
          </cat>
          <val>
            <numRef>
              <f>'Q1 Thin data'!$E$174:$E$183</f>
            </numRef>
          </val>
          <smooth val="0"/>
        </ser>
        <axId val="10"/>
        <axId val="100"/>
      </lineChart>
      <barChart>
        <barDir val="col"/>
        <grouping val="clustered"/>
        <ser>
          <idx val="3"/>
          <order val="3"/>
          <tx>
            <strRef>
              <f>'Q1 Thin data'!B173</f>
            </strRef>
          </tx>
          <spPr>
            <a:solidFill>
              <a:srgbClr val="D8D8D3"/>
            </a:solidFill>
            <a:ln>
              <a:noFill/>
              <a:prstDash val="solid"/>
            </a:ln>
          </spPr>
          <val>
            <numRef>
              <f>'Q1 Thin data'!$B$174:$B$183</f>
            </numRef>
          </val>
        </ser>
        <gapWidth val="60"/>
        <axId val="10"/>
        <axId val="2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equal-exposure bucket (ordered by predicted)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loss cost per unit exposure</a:t>
                </a:r>
              </a:p>
            </rich>
          </tx>
        </title>
        <majorTickMark val="none"/>
        <minorTickMark val="none"/>
        <crossAx val="10"/>
        <crosses val="max"/>
      </valAx>
      <valAx>
        <axId val="2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exposure in bucket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Total-loss Gini distribution, N = 20,000</a:t>
            </a:r>
          </a:p>
        </rich>
      </tx>
    </title>
    <plotArea>
      <scatterChart>
        <ser>
          <idx val="0"/>
          <order val="0"/>
          <tx>
            <strRef>
              <f>'Q1 Thin data'!B195</f>
            </strRef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spPr>
          </marker>
          <xVal>
            <numRef>
              <f>'Q1 Thin data'!$I$196:$I$215</f>
            </numRef>
          </xVal>
          <yVal>
            <numRef>
              <f>'Q1 Thin data'!$B$196:$B$215</f>
            </numRef>
          </yVal>
          <smooth val="0"/>
        </ser>
        <ser>
          <idx val="1"/>
          <order val="1"/>
          <tx>
            <strRef>
              <f>'Q1 Thin data'!C195</f>
            </strRef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EB6834"/>
              </a:solidFill>
              <a:ln>
                <a:solidFill>
                  <a:srgbClr val="EB6834"/>
                </a:solidFill>
                <a:prstDash val="solid"/>
              </a:ln>
            </spPr>
          </marker>
          <xVal>
            <numRef>
              <f>'Q1 Thin data'!$J$196:$J$215</f>
            </numRef>
          </xVal>
          <yVal>
            <numRef>
              <f>'Q1 Thin data'!$C$196:$C$215</f>
            </numRef>
          </yVal>
          <smooth val="0"/>
        </ser>
        <ser>
          <idx val="2"/>
          <order val="2"/>
          <tx>
            <strRef>
              <f>'Q1 Thin data'!D195</f>
            </strRef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1BAF7A"/>
              </a:solidFill>
              <a:ln>
                <a:solidFill>
                  <a:srgbClr val="1BAF7A"/>
                </a:solidFill>
                <a:prstDash val="solid"/>
              </a:ln>
            </spPr>
          </marker>
          <xVal>
            <numRef>
              <f>'Q1 Thin data'!$K$196:$K$215</f>
            </numRef>
          </xVal>
          <yVal>
            <numRef>
              <f>'Q1 Thin data'!$D$196:$D$215</f>
            </numRef>
          </yVal>
          <smooth val="0"/>
        </ser>
        <ser>
          <idx val="3"/>
          <order val="3"/>
          <tx>
            <strRef>
              <f>'Q1 Thin data'!E195</f>
            </strRef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EDA100"/>
              </a:solidFill>
              <a:ln>
                <a:solidFill>
                  <a:srgbClr val="EDA100"/>
                </a:solidFill>
                <a:prstDash val="solid"/>
              </a:ln>
            </spPr>
          </marker>
          <xVal>
            <numRef>
              <f>'Q1 Thin data'!$L$196:$L$215</f>
            </numRef>
          </xVal>
          <yVal>
            <numRef>
              <f>'Q1 Thin data'!$E$196:$E$215</f>
            </numRef>
          </yVal>
          <smooth val="0"/>
        </ser>
        <ser>
          <idx val="4"/>
          <order val="4"/>
          <tx>
            <strRef>
              <f>'Q1 Thin data'!F195</f>
            </strRef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E87BA4"/>
              </a:solidFill>
              <a:ln>
                <a:solidFill>
                  <a:srgbClr val="E87BA4"/>
                </a:solidFill>
                <a:prstDash val="solid"/>
              </a:ln>
            </spPr>
          </marker>
          <xVal>
            <numRef>
              <f>'Q1 Thin data'!$M$196:$M$215</f>
            </numRef>
          </xVal>
          <yVal>
            <numRef>
              <f>'Q1 Thin data'!$F$196:$F$215</f>
            </numRef>
          </yVal>
          <smooth val="0"/>
        </ser>
        <axId val="10"/>
        <axId val="20"/>
      </scatterChart>
      <valAx>
        <axId val="10"/>
        <scaling>
          <orientation val="minMax"/>
          <max val="6"/>
          <min val="0"/>
        </scaling>
        <delete val="1"/>
        <axPos val="l"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Gini on total loss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Lift, N = 20,000 — loss cost (lines) vs exposure (bars)</a:t>
            </a:r>
          </a:p>
        </rich>
      </tx>
    </title>
    <plotArea>
      <lineChart>
        <grouping val="standard"/>
        <ser>
          <idx val="0"/>
          <order val="0"/>
          <tx>
            <strRef>
              <f>'Q1 Thin data'!C218</f>
            </strRef>
          </tx>
          <spPr>
            <a:ln w="22000">
              <a:solidFill>
                <a:srgbClr val="0B0B0B"/>
              </a:solidFill>
              <a:prstDash val="solid"/>
            </a:ln>
          </spPr>
          <marker>
            <symbol val="circle"/>
            <size val="6"/>
            <spPr>
              <a:solidFill>
                <a:srgbClr val="0B0B0B"/>
              </a:solidFill>
              <a:ln>
                <a:solidFill>
                  <a:srgbClr val="0B0B0B"/>
                </a:solidFill>
                <a:prstDash val="solid"/>
              </a:ln>
            </spPr>
          </marker>
          <cat>
            <numRef>
              <f>'Q1 Thin data'!$A$219:$A$228</f>
            </numRef>
          </cat>
          <val>
            <numRef>
              <f>'Q1 Thin data'!$C$219:$C$228</f>
            </numRef>
          </val>
          <smooth val="0"/>
        </ser>
        <ser>
          <idx val="1"/>
          <order val="1"/>
          <tx>
            <strRef>
              <f>'Q1 Thin data'!D218</f>
            </strRef>
          </tx>
          <spPr>
            <a:ln w="22000">
              <a:solidFill>
                <a:srgbClr val="2A78D6"/>
              </a:solidFill>
              <a:prstDash val="solid"/>
            </a:ln>
          </spPr>
          <marker>
            <symbol val="circle"/>
            <size val="6"/>
            <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spPr>
          </marker>
          <cat>
            <numRef>
              <f>'Q1 Thin data'!$A$219:$A$228</f>
            </numRef>
          </cat>
          <val>
            <numRef>
              <f>'Q1 Thin data'!$D$219:$D$228</f>
            </numRef>
          </val>
          <smooth val="0"/>
        </ser>
        <ser>
          <idx val="2"/>
          <order val="2"/>
          <tx>
            <strRef>
              <f>'Q1 Thin data'!E218</f>
            </strRef>
          </tx>
          <spPr>
            <a:ln w="22000">
              <a:solidFill>
                <a:srgbClr val="EB6834"/>
              </a:solidFill>
              <a:prstDash val="solid"/>
            </a:ln>
          </spPr>
          <marker>
            <symbol val="circle"/>
            <size val="6"/>
            <spPr>
              <a:solidFill>
                <a:srgbClr val="EB6834"/>
              </a:solidFill>
              <a:ln>
                <a:solidFill>
                  <a:srgbClr val="EB6834"/>
                </a:solidFill>
                <a:prstDash val="solid"/>
              </a:ln>
            </spPr>
          </marker>
          <cat>
            <numRef>
              <f>'Q1 Thin data'!$A$219:$A$228</f>
            </numRef>
          </cat>
          <val>
            <numRef>
              <f>'Q1 Thin data'!$E$219:$E$228</f>
            </numRef>
          </val>
          <smooth val="0"/>
        </ser>
        <axId val="10"/>
        <axId val="100"/>
      </lineChart>
      <barChart>
        <barDir val="col"/>
        <grouping val="clustered"/>
        <ser>
          <idx val="3"/>
          <order val="3"/>
          <tx>
            <strRef>
              <f>'Q1 Thin data'!B218</f>
            </strRef>
          </tx>
          <spPr>
            <a:solidFill>
              <a:srgbClr val="D8D8D3"/>
            </a:solidFill>
            <a:ln>
              <a:noFill/>
              <a:prstDash val="solid"/>
            </a:ln>
          </spPr>
          <val>
            <numRef>
              <f>'Q1 Thin data'!$B$219:$B$228</f>
            </numRef>
          </val>
        </ser>
        <gapWidth val="60"/>
        <axId val="10"/>
        <axId val="2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equal-exposure bucket (ordered by predicted)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loss cost per unit exposure</a:t>
                </a:r>
              </a:p>
            </rich>
          </tx>
        </title>
        <majorTickMark val="none"/>
        <minorTickMark val="none"/>
        <crossAx val="10"/>
        <crosses val="max"/>
      </valAx>
      <valAx>
        <axId val="2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exposure in bucket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Total-loss Gini distribution, N = 100,000</a:t>
            </a:r>
          </a:p>
        </rich>
      </tx>
    </title>
    <plotArea>
      <scatterChart>
        <ser>
          <idx val="0"/>
          <order val="0"/>
          <tx>
            <strRef>
              <f>'Q1 Thin data'!B240</f>
            </strRef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spPr>
          </marker>
          <xVal>
            <numRef>
              <f>'Q1 Thin data'!$I$241:$I$260</f>
            </numRef>
          </xVal>
          <yVal>
            <numRef>
              <f>'Q1 Thin data'!$B$241:$B$260</f>
            </numRef>
          </yVal>
          <smooth val="0"/>
        </ser>
        <ser>
          <idx val="1"/>
          <order val="1"/>
          <tx>
            <strRef>
              <f>'Q1 Thin data'!C240</f>
            </strRef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EB6834"/>
              </a:solidFill>
              <a:ln>
                <a:solidFill>
                  <a:srgbClr val="EB6834"/>
                </a:solidFill>
                <a:prstDash val="solid"/>
              </a:ln>
            </spPr>
          </marker>
          <xVal>
            <numRef>
              <f>'Q1 Thin data'!$J$241:$J$260</f>
            </numRef>
          </xVal>
          <yVal>
            <numRef>
              <f>'Q1 Thin data'!$C$241:$C$260</f>
            </numRef>
          </yVal>
          <smooth val="0"/>
        </ser>
        <ser>
          <idx val="2"/>
          <order val="2"/>
          <tx>
            <strRef>
              <f>'Q1 Thin data'!D240</f>
            </strRef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1BAF7A"/>
              </a:solidFill>
              <a:ln>
                <a:solidFill>
                  <a:srgbClr val="1BAF7A"/>
                </a:solidFill>
                <a:prstDash val="solid"/>
              </a:ln>
            </spPr>
          </marker>
          <xVal>
            <numRef>
              <f>'Q1 Thin data'!$K$241:$K$260</f>
            </numRef>
          </xVal>
          <yVal>
            <numRef>
              <f>'Q1 Thin data'!$D$241:$D$260</f>
            </numRef>
          </yVal>
          <smooth val="0"/>
        </ser>
        <ser>
          <idx val="3"/>
          <order val="3"/>
          <tx>
            <strRef>
              <f>'Q1 Thin data'!E240</f>
            </strRef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EDA100"/>
              </a:solidFill>
              <a:ln>
                <a:solidFill>
                  <a:srgbClr val="EDA100"/>
                </a:solidFill>
                <a:prstDash val="solid"/>
              </a:ln>
            </spPr>
          </marker>
          <xVal>
            <numRef>
              <f>'Q1 Thin data'!$L$241:$L$260</f>
            </numRef>
          </xVal>
          <yVal>
            <numRef>
              <f>'Q1 Thin data'!$E$241:$E$260</f>
            </numRef>
          </yVal>
          <smooth val="0"/>
        </ser>
        <ser>
          <idx val="4"/>
          <order val="4"/>
          <tx>
            <strRef>
              <f>'Q1 Thin data'!F240</f>
            </strRef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E87BA4"/>
              </a:solidFill>
              <a:ln>
                <a:solidFill>
                  <a:srgbClr val="E87BA4"/>
                </a:solidFill>
                <a:prstDash val="solid"/>
              </a:ln>
            </spPr>
          </marker>
          <xVal>
            <numRef>
              <f>'Q1 Thin data'!$M$241:$M$260</f>
            </numRef>
          </xVal>
          <yVal>
            <numRef>
              <f>'Q1 Thin data'!$F$241:$F$260</f>
            </numRef>
          </yVal>
          <smooth val="0"/>
        </ser>
        <axId val="10"/>
        <axId val="20"/>
      </scatterChart>
      <valAx>
        <axId val="10"/>
        <scaling>
          <orientation val="minMax"/>
          <max val="6"/>
          <min val="0"/>
        </scaling>
        <delete val="1"/>
        <axPos val="l"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Gini on total loss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Lift, N = 100,000 — loss cost (lines) vs exposure (bars)</a:t>
            </a:r>
          </a:p>
        </rich>
      </tx>
    </title>
    <plotArea>
      <lineChart>
        <grouping val="standard"/>
        <ser>
          <idx val="0"/>
          <order val="0"/>
          <tx>
            <strRef>
              <f>'Q1 Thin data'!C263</f>
            </strRef>
          </tx>
          <spPr>
            <a:ln w="22000">
              <a:solidFill>
                <a:srgbClr val="0B0B0B"/>
              </a:solidFill>
              <a:prstDash val="solid"/>
            </a:ln>
          </spPr>
          <marker>
            <symbol val="circle"/>
            <size val="6"/>
            <spPr>
              <a:solidFill>
                <a:srgbClr val="0B0B0B"/>
              </a:solidFill>
              <a:ln>
                <a:solidFill>
                  <a:srgbClr val="0B0B0B"/>
                </a:solidFill>
                <a:prstDash val="solid"/>
              </a:ln>
            </spPr>
          </marker>
          <cat>
            <numRef>
              <f>'Q1 Thin data'!$A$264:$A$273</f>
            </numRef>
          </cat>
          <val>
            <numRef>
              <f>'Q1 Thin data'!$C$264:$C$273</f>
            </numRef>
          </val>
          <smooth val="0"/>
        </ser>
        <ser>
          <idx val="1"/>
          <order val="1"/>
          <tx>
            <strRef>
              <f>'Q1 Thin data'!D263</f>
            </strRef>
          </tx>
          <spPr>
            <a:ln w="22000">
              <a:solidFill>
                <a:srgbClr val="2A78D6"/>
              </a:solidFill>
              <a:prstDash val="solid"/>
            </a:ln>
          </spPr>
          <marker>
            <symbol val="circle"/>
            <size val="6"/>
            <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spPr>
          </marker>
          <cat>
            <numRef>
              <f>'Q1 Thin data'!$A$264:$A$273</f>
            </numRef>
          </cat>
          <val>
            <numRef>
              <f>'Q1 Thin data'!$D$264:$D$273</f>
            </numRef>
          </val>
          <smooth val="0"/>
        </ser>
        <ser>
          <idx val="2"/>
          <order val="2"/>
          <tx>
            <strRef>
              <f>'Q1 Thin data'!E263</f>
            </strRef>
          </tx>
          <spPr>
            <a:ln w="22000">
              <a:solidFill>
                <a:srgbClr val="EB6834"/>
              </a:solidFill>
              <a:prstDash val="solid"/>
            </a:ln>
          </spPr>
          <marker>
            <symbol val="circle"/>
            <size val="6"/>
            <spPr>
              <a:solidFill>
                <a:srgbClr val="EB6834"/>
              </a:solidFill>
              <a:ln>
                <a:solidFill>
                  <a:srgbClr val="EB6834"/>
                </a:solidFill>
                <a:prstDash val="solid"/>
              </a:ln>
            </spPr>
          </marker>
          <cat>
            <numRef>
              <f>'Q1 Thin data'!$A$264:$A$273</f>
            </numRef>
          </cat>
          <val>
            <numRef>
              <f>'Q1 Thin data'!$E$264:$E$273</f>
            </numRef>
          </val>
          <smooth val="0"/>
        </ser>
        <axId val="10"/>
        <axId val="100"/>
      </lineChart>
      <barChart>
        <barDir val="col"/>
        <grouping val="clustered"/>
        <ser>
          <idx val="3"/>
          <order val="3"/>
          <tx>
            <strRef>
              <f>'Q1 Thin data'!B263</f>
            </strRef>
          </tx>
          <spPr>
            <a:solidFill>
              <a:srgbClr val="D8D8D3"/>
            </a:solidFill>
            <a:ln>
              <a:noFill/>
              <a:prstDash val="solid"/>
            </a:ln>
          </spPr>
          <val>
            <numRef>
              <f>'Q1 Thin data'!$B$264:$B$273</f>
            </numRef>
          </val>
        </ser>
        <gapWidth val="60"/>
        <axId val="10"/>
        <axId val="2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equal-exposure bucket (ordered by predicted)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loss cost per unit exposure</a:t>
                </a:r>
              </a:p>
            </rich>
          </tx>
        </title>
        <majorTickMark val="none"/>
        <minorTickMark val="none"/>
        <crossAx val="10"/>
        <crosses val="max"/>
      </valAx>
      <valAx>
        <axId val="2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exposure in bucket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Total-loss Gini distribution, N = 542,410</a:t>
            </a:r>
          </a:p>
        </rich>
      </tx>
    </title>
    <plotArea>
      <scatterChart>
        <ser>
          <idx val="0"/>
          <order val="0"/>
          <tx>
            <strRef>
              <f>'Q1 Thin data'!B285</f>
            </strRef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spPr>
          </marker>
          <xVal>
            <numRef>
              <f>'Q1 Thin data'!$I$286:$I$288</f>
            </numRef>
          </xVal>
          <yVal>
            <numRef>
              <f>'Q1 Thin data'!$B$286:$B$288</f>
            </numRef>
          </yVal>
          <smooth val="0"/>
        </ser>
        <ser>
          <idx val="1"/>
          <order val="1"/>
          <tx>
            <strRef>
              <f>'Q1 Thin data'!C285</f>
            </strRef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EB6834"/>
              </a:solidFill>
              <a:ln>
                <a:solidFill>
                  <a:srgbClr val="EB6834"/>
                </a:solidFill>
                <a:prstDash val="solid"/>
              </a:ln>
            </spPr>
          </marker>
          <xVal>
            <numRef>
              <f>'Q1 Thin data'!$J$286:$J$288</f>
            </numRef>
          </xVal>
          <yVal>
            <numRef>
              <f>'Q1 Thin data'!$C$286:$C$288</f>
            </numRef>
          </yVal>
          <smooth val="0"/>
        </ser>
        <ser>
          <idx val="2"/>
          <order val="2"/>
          <tx>
            <strRef>
              <f>'Q1 Thin data'!D285</f>
            </strRef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1BAF7A"/>
              </a:solidFill>
              <a:ln>
                <a:solidFill>
                  <a:srgbClr val="1BAF7A"/>
                </a:solidFill>
                <a:prstDash val="solid"/>
              </a:ln>
            </spPr>
          </marker>
          <xVal>
            <numRef>
              <f>'Q1 Thin data'!$K$286:$K$288</f>
            </numRef>
          </xVal>
          <yVal>
            <numRef>
              <f>'Q1 Thin data'!$D$286:$D$288</f>
            </numRef>
          </yVal>
          <smooth val="0"/>
        </ser>
        <ser>
          <idx val="3"/>
          <order val="3"/>
          <tx>
            <strRef>
              <f>'Q1 Thin data'!E285</f>
            </strRef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EDA100"/>
              </a:solidFill>
              <a:ln>
                <a:solidFill>
                  <a:srgbClr val="EDA100"/>
                </a:solidFill>
                <a:prstDash val="solid"/>
              </a:ln>
            </spPr>
          </marker>
          <xVal>
            <numRef>
              <f>'Q1 Thin data'!$L$286:$L$288</f>
            </numRef>
          </xVal>
          <yVal>
            <numRef>
              <f>'Q1 Thin data'!$E$286:$E$288</f>
            </numRef>
          </yVal>
          <smooth val="0"/>
        </ser>
        <ser>
          <idx val="4"/>
          <order val="4"/>
          <tx>
            <strRef>
              <f>'Q1 Thin data'!F285</f>
            </strRef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E87BA4"/>
              </a:solidFill>
              <a:ln>
                <a:solidFill>
                  <a:srgbClr val="E87BA4"/>
                </a:solidFill>
                <a:prstDash val="solid"/>
              </a:ln>
            </spPr>
          </marker>
          <xVal>
            <numRef>
              <f>'Q1 Thin data'!$M$286:$M$288</f>
            </numRef>
          </xVal>
          <yVal>
            <numRef>
              <f>'Q1 Thin data'!$F$286:$F$288</f>
            </numRef>
          </yVal>
          <smooth val="0"/>
        </ser>
        <axId val="10"/>
        <axId val="20"/>
      </scatterChart>
      <valAx>
        <axId val="10"/>
        <scaling>
          <orientation val="minMax"/>
          <max val="6"/>
          <min val="0"/>
        </scaling>
        <delete val="1"/>
        <axPos val="l"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Gini on total loss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Lift, N = 542,410 — loss cost (lines) vs exposure (bars)</a:t>
            </a:r>
          </a:p>
        </rich>
      </tx>
    </title>
    <plotArea>
      <lineChart>
        <grouping val="standard"/>
        <ser>
          <idx val="0"/>
          <order val="0"/>
          <tx>
            <strRef>
              <f>'Q1 Thin data'!C291</f>
            </strRef>
          </tx>
          <spPr>
            <a:ln w="22000">
              <a:solidFill>
                <a:srgbClr val="0B0B0B"/>
              </a:solidFill>
              <a:prstDash val="solid"/>
            </a:ln>
          </spPr>
          <marker>
            <symbol val="circle"/>
            <size val="6"/>
            <spPr>
              <a:solidFill>
                <a:srgbClr val="0B0B0B"/>
              </a:solidFill>
              <a:ln>
                <a:solidFill>
                  <a:srgbClr val="0B0B0B"/>
                </a:solidFill>
                <a:prstDash val="solid"/>
              </a:ln>
            </spPr>
          </marker>
          <cat>
            <numRef>
              <f>'Q1 Thin data'!$A$292:$A$301</f>
            </numRef>
          </cat>
          <val>
            <numRef>
              <f>'Q1 Thin data'!$C$292:$C$301</f>
            </numRef>
          </val>
          <smooth val="0"/>
        </ser>
        <ser>
          <idx val="1"/>
          <order val="1"/>
          <tx>
            <strRef>
              <f>'Q1 Thin data'!D291</f>
            </strRef>
          </tx>
          <spPr>
            <a:ln w="22000">
              <a:solidFill>
                <a:srgbClr val="2A78D6"/>
              </a:solidFill>
              <a:prstDash val="solid"/>
            </a:ln>
          </spPr>
          <marker>
            <symbol val="circle"/>
            <size val="6"/>
            <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spPr>
          </marker>
          <cat>
            <numRef>
              <f>'Q1 Thin data'!$A$292:$A$301</f>
            </numRef>
          </cat>
          <val>
            <numRef>
              <f>'Q1 Thin data'!$D$292:$D$301</f>
            </numRef>
          </val>
          <smooth val="0"/>
        </ser>
        <ser>
          <idx val="2"/>
          <order val="2"/>
          <tx>
            <strRef>
              <f>'Q1 Thin data'!E291</f>
            </strRef>
          </tx>
          <spPr>
            <a:ln w="22000">
              <a:solidFill>
                <a:srgbClr val="EB6834"/>
              </a:solidFill>
              <a:prstDash val="solid"/>
            </a:ln>
          </spPr>
          <marker>
            <symbol val="circle"/>
            <size val="6"/>
            <spPr>
              <a:solidFill>
                <a:srgbClr val="EB6834"/>
              </a:solidFill>
              <a:ln>
                <a:solidFill>
                  <a:srgbClr val="EB6834"/>
                </a:solidFill>
                <a:prstDash val="solid"/>
              </a:ln>
            </spPr>
          </marker>
          <cat>
            <numRef>
              <f>'Q1 Thin data'!$A$292:$A$301</f>
            </numRef>
          </cat>
          <val>
            <numRef>
              <f>'Q1 Thin data'!$E$292:$E$301</f>
            </numRef>
          </val>
          <smooth val="0"/>
        </ser>
        <axId val="10"/>
        <axId val="100"/>
      </lineChart>
      <barChart>
        <barDir val="col"/>
        <grouping val="clustered"/>
        <ser>
          <idx val="3"/>
          <order val="3"/>
          <tx>
            <strRef>
              <f>'Q1 Thin data'!B291</f>
            </strRef>
          </tx>
          <spPr>
            <a:solidFill>
              <a:srgbClr val="D8D8D3"/>
            </a:solidFill>
            <a:ln>
              <a:noFill/>
              <a:prstDash val="solid"/>
            </a:ln>
          </spPr>
          <val>
            <numRef>
              <f>'Q1 Thin data'!$B$292:$B$301</f>
            </numRef>
          </val>
        </ser>
        <gapWidth val="60"/>
        <axId val="10"/>
        <axId val="2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equal-exposure bucket (ordered by predicted)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loss cost per unit exposure</a:t>
                </a:r>
              </a:p>
            </rich>
          </tx>
        </title>
        <majorTickMark val="none"/>
        <minorTickMark val="none"/>
        <crossAx val="10"/>
        <crosses val="max"/>
      </valAx>
      <valAx>
        <axId val="2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exposure in bucket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Exposure by region (bars) with loss cost (line)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'Q2 Censored regions'!C8</f>
            </strRef>
          </tx>
          <spPr>
            <a:solidFill>
              <a:srgbClr val="D8D8D3"/>
            </a:solidFill>
            <a:ln>
              <a:noFill/>
              <a:prstDash val="solid"/>
            </a:ln>
          </spPr>
          <cat>
            <numRef>
              <f>'Q2 Censored regions'!$A$9:$A$30</f>
            </numRef>
          </cat>
          <val>
            <numRef>
              <f>'Q2 Censored regions'!$C$9:$C$30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'Q2 Censored regions'!E8</f>
            </strRef>
          </tx>
          <spPr>
            <a:ln w="22000">
              <a:solidFill>
                <a:srgbClr val="EB6834"/>
              </a:solidFill>
              <a:prstDash val="solid"/>
            </a:ln>
          </spPr>
          <marker>
            <symbol val="circle"/>
            <size val="6"/>
            <spPr>
              <a:solidFill>
                <a:srgbClr val="EB6834"/>
              </a:solidFill>
              <a:ln>
                <a:solidFill>
                  <a:srgbClr val="EB6834"/>
                </a:solidFill>
                <a:prstDash val="solid"/>
              </a:ln>
            </spPr>
          </marker>
          <val>
            <numRef>
              <f>'Q2 Censored regions'!$E$9:$E$30</f>
            </numRef>
          </val>
          <smooth val="0"/>
        </ser>
        <axId val="10"/>
        <axId val="2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exposure</a:t>
                </a:r>
              </a:p>
            </rich>
          </tx>
        </title>
        <majorTickMark val="none"/>
        <minorTickMark val="none"/>
        <crossAx val="10"/>
        <crosses val="max"/>
      </valAx>
      <valAx>
        <axId val="2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loss cost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R24 — total-loss Gini by seed</a:t>
            </a:r>
          </a:p>
        </rich>
      </tx>
    </title>
    <plotArea>
      <scatterChart>
        <ser>
          <idx val="0"/>
          <order val="0"/>
          <tx>
            <strRef>
              <f>'Q2 Censored regions'!B101</f>
            </strRef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spPr>
          </marker>
          <xVal>
            <numRef>
              <f>'Q2 Censored regions'!$I$102:$I$106</f>
            </numRef>
          </xVal>
          <yVal>
            <numRef>
              <f>'Q2 Censored regions'!$B$102:$B$106</f>
            </numRef>
          </yVal>
          <smooth val="0"/>
        </ser>
        <ser>
          <idx val="1"/>
          <order val="1"/>
          <tx>
            <strRef>
              <f>'Q2 Censored regions'!C101</f>
            </strRef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EB6834"/>
              </a:solidFill>
              <a:ln>
                <a:solidFill>
                  <a:srgbClr val="EB6834"/>
                </a:solidFill>
                <a:prstDash val="solid"/>
              </a:ln>
            </spPr>
          </marker>
          <xVal>
            <numRef>
              <f>'Q2 Censored regions'!$J$102:$J$106</f>
            </numRef>
          </xVal>
          <yVal>
            <numRef>
              <f>'Q2 Censored regions'!$C$102:$C$106</f>
            </numRef>
          </yVal>
          <smooth val="0"/>
        </ser>
        <ser>
          <idx val="2"/>
          <order val="2"/>
          <tx>
            <strRef>
              <f>'Q2 Censored regions'!D101</f>
            </strRef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1BAF7A"/>
              </a:solidFill>
              <a:ln>
                <a:solidFill>
                  <a:srgbClr val="1BAF7A"/>
                </a:solidFill>
                <a:prstDash val="solid"/>
              </a:ln>
            </spPr>
          </marker>
          <xVal>
            <numRef>
              <f>'Q2 Censored regions'!$K$102:$K$106</f>
            </numRef>
          </xVal>
          <yVal>
            <numRef>
              <f>'Q2 Censored regions'!$D$102:$D$106</f>
            </numRef>
          </yVal>
          <smooth val="0"/>
        </ser>
        <ser>
          <idx val="3"/>
          <order val="3"/>
          <tx>
            <strRef>
              <f>'Q2 Censored regions'!E101</f>
            </strRef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EDA100"/>
              </a:solidFill>
              <a:ln>
                <a:solidFill>
                  <a:srgbClr val="EDA100"/>
                </a:solidFill>
                <a:prstDash val="solid"/>
              </a:ln>
            </spPr>
          </marker>
          <xVal>
            <numRef>
              <f>'Q2 Censored regions'!$L$102:$L$106</f>
            </numRef>
          </xVal>
          <yVal>
            <numRef>
              <f>'Q2 Censored regions'!$E$102:$E$106</f>
            </numRef>
          </yVal>
          <smooth val="0"/>
        </ser>
        <ser>
          <idx val="4"/>
          <order val="4"/>
          <tx>
            <strRef>
              <f>'Q2 Censored regions'!F101</f>
            </strRef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E87BA4"/>
              </a:solidFill>
              <a:ln>
                <a:solidFill>
                  <a:srgbClr val="E87BA4"/>
                </a:solidFill>
                <a:prstDash val="solid"/>
              </a:ln>
            </spPr>
          </marker>
          <xVal>
            <numRef>
              <f>'Q2 Censored regions'!$M$102:$M$106</f>
            </numRef>
          </xVal>
          <yVal>
            <numRef>
              <f>'Q2 Censored regions'!$F$102:$F$106</f>
            </numRef>
          </yVal>
          <smooth val="0"/>
        </ser>
        <axId val="10"/>
        <axId val="20"/>
      </scatterChart>
      <valAx>
        <axId val="10"/>
        <scaling>
          <orientation val="minMax"/>
          <max val="6"/>
          <min val="0"/>
        </scaling>
        <delete val="1"/>
        <axPos val="l"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Gini on total loss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R24 lift — loss cost (lines) vs exposure (bars)</a:t>
            </a:r>
          </a:p>
        </rich>
      </tx>
    </title>
    <plotArea>
      <lineChart>
        <grouping val="standard"/>
        <ser>
          <idx val="0"/>
          <order val="0"/>
          <tx>
            <strRef>
              <f>'Q2 Censored regions'!C109</f>
            </strRef>
          </tx>
          <spPr>
            <a:ln w="22000">
              <a:solidFill>
                <a:srgbClr val="0B0B0B"/>
              </a:solidFill>
              <a:prstDash val="solid"/>
            </a:ln>
          </spPr>
          <marker>
            <symbol val="circle"/>
            <size val="6"/>
            <spPr>
              <a:solidFill>
                <a:srgbClr val="0B0B0B"/>
              </a:solidFill>
              <a:ln>
                <a:solidFill>
                  <a:srgbClr val="0B0B0B"/>
                </a:solidFill>
                <a:prstDash val="solid"/>
              </a:ln>
            </spPr>
          </marker>
          <cat>
            <numRef>
              <f>'Q2 Censored regions'!$A$110:$A$119</f>
            </numRef>
          </cat>
          <val>
            <numRef>
              <f>'Q2 Censored regions'!$C$110:$C$119</f>
            </numRef>
          </val>
          <smooth val="0"/>
        </ser>
        <ser>
          <idx val="1"/>
          <order val="1"/>
          <tx>
            <strRef>
              <f>'Q2 Censored regions'!D109</f>
            </strRef>
          </tx>
          <spPr>
            <a:ln w="22000">
              <a:solidFill>
                <a:srgbClr val="2A78D6"/>
              </a:solidFill>
              <a:prstDash val="solid"/>
            </a:ln>
          </spPr>
          <marker>
            <symbol val="circle"/>
            <size val="6"/>
            <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spPr>
          </marker>
          <cat>
            <numRef>
              <f>'Q2 Censored regions'!$A$110:$A$119</f>
            </numRef>
          </cat>
          <val>
            <numRef>
              <f>'Q2 Censored regions'!$D$110:$D$119</f>
            </numRef>
          </val>
          <smooth val="0"/>
        </ser>
        <ser>
          <idx val="2"/>
          <order val="2"/>
          <tx>
            <strRef>
              <f>'Q2 Censored regions'!E109</f>
            </strRef>
          </tx>
          <spPr>
            <a:ln w="22000">
              <a:solidFill>
                <a:srgbClr val="EB6834"/>
              </a:solidFill>
              <a:prstDash val="solid"/>
            </a:ln>
          </spPr>
          <marker>
            <symbol val="circle"/>
            <size val="6"/>
            <spPr>
              <a:solidFill>
                <a:srgbClr val="EB6834"/>
              </a:solidFill>
              <a:ln>
                <a:solidFill>
                  <a:srgbClr val="EB6834"/>
                </a:solidFill>
                <a:prstDash val="solid"/>
              </a:ln>
            </spPr>
          </marker>
          <cat>
            <numRef>
              <f>'Q2 Censored regions'!$A$110:$A$119</f>
            </numRef>
          </cat>
          <val>
            <numRef>
              <f>'Q2 Censored regions'!$E$110:$E$119</f>
            </numRef>
          </val>
          <smooth val="0"/>
        </ser>
        <axId val="10"/>
        <axId val="100"/>
      </lineChart>
      <barChart>
        <barDir val="col"/>
        <grouping val="clustered"/>
        <ser>
          <idx val="3"/>
          <order val="3"/>
          <tx>
            <strRef>
              <f>'Q2 Censored regions'!B109</f>
            </strRef>
          </tx>
          <spPr>
            <a:solidFill>
              <a:srgbClr val="D8D8D3"/>
            </a:solidFill>
            <a:ln>
              <a:noFill/>
              <a:prstDash val="solid"/>
            </a:ln>
          </spPr>
          <val>
            <numRef>
              <f>'Q2 Censored regions'!$B$110:$B$119</f>
            </numRef>
          </val>
        </ser>
        <gapWidth val="60"/>
        <axId val="10"/>
        <axId val="2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equal-exposure bucket (ordered by predicted)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loss cost per unit exposure</a:t>
                </a:r>
              </a:p>
            </rich>
          </tx>
        </title>
        <majorTickMark val="none"/>
        <minorTickMark val="none"/>
        <crossAx val="10"/>
        <crosses val="max"/>
      </valAx>
      <valAx>
        <axId val="2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exposure in bucket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4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R82 — total-loss Gini by seed</a:t>
            </a:r>
          </a:p>
        </rich>
      </tx>
    </title>
    <plotArea>
      <scatterChart>
        <ser>
          <idx val="0"/>
          <order val="0"/>
          <tx>
            <strRef>
              <f>'Q2 Censored regions'!B140</f>
            </strRef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spPr>
          </marker>
          <xVal>
            <numRef>
              <f>'Q2 Censored regions'!$I$141:$I$145</f>
            </numRef>
          </xVal>
          <yVal>
            <numRef>
              <f>'Q2 Censored regions'!$B$141:$B$145</f>
            </numRef>
          </yVal>
          <smooth val="0"/>
        </ser>
        <ser>
          <idx val="1"/>
          <order val="1"/>
          <tx>
            <strRef>
              <f>'Q2 Censored regions'!C140</f>
            </strRef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EB6834"/>
              </a:solidFill>
              <a:ln>
                <a:solidFill>
                  <a:srgbClr val="EB6834"/>
                </a:solidFill>
                <a:prstDash val="solid"/>
              </a:ln>
            </spPr>
          </marker>
          <xVal>
            <numRef>
              <f>'Q2 Censored regions'!$J$141:$J$145</f>
            </numRef>
          </xVal>
          <yVal>
            <numRef>
              <f>'Q2 Censored regions'!$C$141:$C$145</f>
            </numRef>
          </yVal>
          <smooth val="0"/>
        </ser>
        <ser>
          <idx val="2"/>
          <order val="2"/>
          <tx>
            <strRef>
              <f>'Q2 Censored regions'!D140</f>
            </strRef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1BAF7A"/>
              </a:solidFill>
              <a:ln>
                <a:solidFill>
                  <a:srgbClr val="1BAF7A"/>
                </a:solidFill>
                <a:prstDash val="solid"/>
              </a:ln>
            </spPr>
          </marker>
          <xVal>
            <numRef>
              <f>'Q2 Censored regions'!$K$141:$K$145</f>
            </numRef>
          </xVal>
          <yVal>
            <numRef>
              <f>'Q2 Censored regions'!$D$141:$D$145</f>
            </numRef>
          </yVal>
          <smooth val="0"/>
        </ser>
        <ser>
          <idx val="3"/>
          <order val="3"/>
          <tx>
            <strRef>
              <f>'Q2 Censored regions'!E140</f>
            </strRef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EDA100"/>
              </a:solidFill>
              <a:ln>
                <a:solidFill>
                  <a:srgbClr val="EDA100"/>
                </a:solidFill>
                <a:prstDash val="solid"/>
              </a:ln>
            </spPr>
          </marker>
          <xVal>
            <numRef>
              <f>'Q2 Censored regions'!$L$141:$L$145</f>
            </numRef>
          </xVal>
          <yVal>
            <numRef>
              <f>'Q2 Censored regions'!$E$141:$E$145</f>
            </numRef>
          </yVal>
          <smooth val="0"/>
        </ser>
        <ser>
          <idx val="4"/>
          <order val="4"/>
          <tx>
            <strRef>
              <f>'Q2 Censored regions'!F140</f>
            </strRef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E87BA4"/>
              </a:solidFill>
              <a:ln>
                <a:solidFill>
                  <a:srgbClr val="E87BA4"/>
                </a:solidFill>
                <a:prstDash val="solid"/>
              </a:ln>
            </spPr>
          </marker>
          <xVal>
            <numRef>
              <f>'Q2 Censored regions'!$M$141:$M$145</f>
            </numRef>
          </xVal>
          <yVal>
            <numRef>
              <f>'Q2 Censored regions'!$F$141:$F$145</f>
            </numRef>
          </yVal>
          <smooth val="0"/>
        </ser>
        <axId val="10"/>
        <axId val="20"/>
      </scatterChart>
      <valAx>
        <axId val="10"/>
        <scaling>
          <orientation val="minMax"/>
          <max val="6"/>
          <min val="0"/>
        </scaling>
        <delete val="1"/>
        <axPos val="l"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Gini on total loss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R82 lift — loss cost (lines) vs exposure (bars)</a:t>
            </a:r>
          </a:p>
        </rich>
      </tx>
    </title>
    <plotArea>
      <lineChart>
        <grouping val="standard"/>
        <ser>
          <idx val="0"/>
          <order val="0"/>
          <tx>
            <strRef>
              <f>'Q2 Censored regions'!C148</f>
            </strRef>
          </tx>
          <spPr>
            <a:ln w="22000">
              <a:solidFill>
                <a:srgbClr val="0B0B0B"/>
              </a:solidFill>
              <a:prstDash val="solid"/>
            </a:ln>
          </spPr>
          <marker>
            <symbol val="circle"/>
            <size val="6"/>
            <spPr>
              <a:solidFill>
                <a:srgbClr val="0B0B0B"/>
              </a:solidFill>
              <a:ln>
                <a:solidFill>
                  <a:srgbClr val="0B0B0B"/>
                </a:solidFill>
                <a:prstDash val="solid"/>
              </a:ln>
            </spPr>
          </marker>
          <cat>
            <numRef>
              <f>'Q2 Censored regions'!$A$149:$A$158</f>
            </numRef>
          </cat>
          <val>
            <numRef>
              <f>'Q2 Censored regions'!$C$149:$C$158</f>
            </numRef>
          </val>
          <smooth val="0"/>
        </ser>
        <ser>
          <idx val="1"/>
          <order val="1"/>
          <tx>
            <strRef>
              <f>'Q2 Censored regions'!D148</f>
            </strRef>
          </tx>
          <spPr>
            <a:ln w="22000">
              <a:solidFill>
                <a:srgbClr val="2A78D6"/>
              </a:solidFill>
              <a:prstDash val="solid"/>
            </a:ln>
          </spPr>
          <marker>
            <symbol val="circle"/>
            <size val="6"/>
            <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spPr>
          </marker>
          <cat>
            <numRef>
              <f>'Q2 Censored regions'!$A$149:$A$158</f>
            </numRef>
          </cat>
          <val>
            <numRef>
              <f>'Q2 Censored regions'!$D$149:$D$158</f>
            </numRef>
          </val>
          <smooth val="0"/>
        </ser>
        <ser>
          <idx val="2"/>
          <order val="2"/>
          <tx>
            <strRef>
              <f>'Q2 Censored regions'!E148</f>
            </strRef>
          </tx>
          <spPr>
            <a:ln w="22000">
              <a:solidFill>
                <a:srgbClr val="EB6834"/>
              </a:solidFill>
              <a:prstDash val="solid"/>
            </a:ln>
          </spPr>
          <marker>
            <symbol val="circle"/>
            <size val="6"/>
            <spPr>
              <a:solidFill>
                <a:srgbClr val="EB6834"/>
              </a:solidFill>
              <a:ln>
                <a:solidFill>
                  <a:srgbClr val="EB6834"/>
                </a:solidFill>
                <a:prstDash val="solid"/>
              </a:ln>
            </spPr>
          </marker>
          <cat>
            <numRef>
              <f>'Q2 Censored regions'!$A$149:$A$158</f>
            </numRef>
          </cat>
          <val>
            <numRef>
              <f>'Q2 Censored regions'!$E$149:$E$158</f>
            </numRef>
          </val>
          <smooth val="0"/>
        </ser>
        <axId val="10"/>
        <axId val="100"/>
      </lineChart>
      <barChart>
        <barDir val="col"/>
        <grouping val="clustered"/>
        <ser>
          <idx val="3"/>
          <order val="3"/>
          <tx>
            <strRef>
              <f>'Q2 Censored regions'!B148</f>
            </strRef>
          </tx>
          <spPr>
            <a:solidFill>
              <a:srgbClr val="D8D8D3"/>
            </a:solidFill>
            <a:ln>
              <a:noFill/>
              <a:prstDash val="solid"/>
            </a:ln>
          </spPr>
          <val>
            <numRef>
              <f>'Q2 Censored regions'!$B$149:$B$158</f>
            </numRef>
          </val>
        </ser>
        <gapWidth val="60"/>
        <axId val="10"/>
        <axId val="2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equal-exposure bucket (ordered by predicted)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loss cost per unit exposure</a:t>
                </a:r>
              </a:p>
            </rich>
          </tx>
        </title>
        <majorTickMark val="none"/>
        <minorTickMark val="none"/>
        <crossAx val="10"/>
        <crosses val="max"/>
      </valAx>
      <valAx>
        <axId val="2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exposure in bucket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6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R93 — total-loss Gini by seed</a:t>
            </a:r>
          </a:p>
        </rich>
      </tx>
    </title>
    <plotArea>
      <scatterChart>
        <ser>
          <idx val="0"/>
          <order val="0"/>
          <tx>
            <strRef>
              <f>'Q2 Censored regions'!B179</f>
            </strRef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spPr>
          </marker>
          <xVal>
            <numRef>
              <f>'Q2 Censored regions'!$I$180:$I$184</f>
            </numRef>
          </xVal>
          <yVal>
            <numRef>
              <f>'Q2 Censored regions'!$B$180:$B$184</f>
            </numRef>
          </yVal>
          <smooth val="0"/>
        </ser>
        <ser>
          <idx val="1"/>
          <order val="1"/>
          <tx>
            <strRef>
              <f>'Q2 Censored regions'!C179</f>
            </strRef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EB6834"/>
              </a:solidFill>
              <a:ln>
                <a:solidFill>
                  <a:srgbClr val="EB6834"/>
                </a:solidFill>
                <a:prstDash val="solid"/>
              </a:ln>
            </spPr>
          </marker>
          <xVal>
            <numRef>
              <f>'Q2 Censored regions'!$J$180:$J$184</f>
            </numRef>
          </xVal>
          <yVal>
            <numRef>
              <f>'Q2 Censored regions'!$C$180:$C$184</f>
            </numRef>
          </yVal>
          <smooth val="0"/>
        </ser>
        <ser>
          <idx val="2"/>
          <order val="2"/>
          <tx>
            <strRef>
              <f>'Q2 Censored regions'!D179</f>
            </strRef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1BAF7A"/>
              </a:solidFill>
              <a:ln>
                <a:solidFill>
                  <a:srgbClr val="1BAF7A"/>
                </a:solidFill>
                <a:prstDash val="solid"/>
              </a:ln>
            </spPr>
          </marker>
          <xVal>
            <numRef>
              <f>'Q2 Censored regions'!$K$180:$K$184</f>
            </numRef>
          </xVal>
          <yVal>
            <numRef>
              <f>'Q2 Censored regions'!$D$180:$D$184</f>
            </numRef>
          </yVal>
          <smooth val="0"/>
        </ser>
        <ser>
          <idx val="3"/>
          <order val="3"/>
          <tx>
            <strRef>
              <f>'Q2 Censored regions'!E179</f>
            </strRef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EDA100"/>
              </a:solidFill>
              <a:ln>
                <a:solidFill>
                  <a:srgbClr val="EDA100"/>
                </a:solidFill>
                <a:prstDash val="solid"/>
              </a:ln>
            </spPr>
          </marker>
          <xVal>
            <numRef>
              <f>'Q2 Censored regions'!$L$180:$L$184</f>
            </numRef>
          </xVal>
          <yVal>
            <numRef>
              <f>'Q2 Censored regions'!$E$180:$E$184</f>
            </numRef>
          </yVal>
          <smooth val="0"/>
        </ser>
        <ser>
          <idx val="4"/>
          <order val="4"/>
          <tx>
            <strRef>
              <f>'Q2 Censored regions'!F179</f>
            </strRef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E87BA4"/>
              </a:solidFill>
              <a:ln>
                <a:solidFill>
                  <a:srgbClr val="E87BA4"/>
                </a:solidFill>
                <a:prstDash val="solid"/>
              </a:ln>
            </spPr>
          </marker>
          <xVal>
            <numRef>
              <f>'Q2 Censored regions'!$M$180:$M$184</f>
            </numRef>
          </xVal>
          <yVal>
            <numRef>
              <f>'Q2 Censored regions'!$F$180:$F$184</f>
            </numRef>
          </yVal>
          <smooth val="0"/>
        </ser>
        <axId val="10"/>
        <axId val="20"/>
      </scatterChart>
      <valAx>
        <axId val="10"/>
        <scaling>
          <orientation val="minMax"/>
          <max val="6"/>
          <min val="0"/>
        </scaling>
        <delete val="1"/>
        <axPos val="l"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Gini on total loss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R93 lift — loss cost (lines) vs exposure (bars)</a:t>
            </a:r>
          </a:p>
        </rich>
      </tx>
    </title>
    <plotArea>
      <lineChart>
        <grouping val="standard"/>
        <ser>
          <idx val="0"/>
          <order val="0"/>
          <tx>
            <strRef>
              <f>'Q2 Censored regions'!C187</f>
            </strRef>
          </tx>
          <spPr>
            <a:ln w="22000">
              <a:solidFill>
                <a:srgbClr val="0B0B0B"/>
              </a:solidFill>
              <a:prstDash val="solid"/>
            </a:ln>
          </spPr>
          <marker>
            <symbol val="circle"/>
            <size val="6"/>
            <spPr>
              <a:solidFill>
                <a:srgbClr val="0B0B0B"/>
              </a:solidFill>
              <a:ln>
                <a:solidFill>
                  <a:srgbClr val="0B0B0B"/>
                </a:solidFill>
                <a:prstDash val="solid"/>
              </a:ln>
            </spPr>
          </marker>
          <cat>
            <numRef>
              <f>'Q2 Censored regions'!$A$188:$A$197</f>
            </numRef>
          </cat>
          <val>
            <numRef>
              <f>'Q2 Censored regions'!$C$188:$C$197</f>
            </numRef>
          </val>
          <smooth val="0"/>
        </ser>
        <ser>
          <idx val="1"/>
          <order val="1"/>
          <tx>
            <strRef>
              <f>'Q2 Censored regions'!D187</f>
            </strRef>
          </tx>
          <spPr>
            <a:ln w="22000">
              <a:solidFill>
                <a:srgbClr val="2A78D6"/>
              </a:solidFill>
              <a:prstDash val="solid"/>
            </a:ln>
          </spPr>
          <marker>
            <symbol val="circle"/>
            <size val="6"/>
            <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spPr>
          </marker>
          <cat>
            <numRef>
              <f>'Q2 Censored regions'!$A$188:$A$197</f>
            </numRef>
          </cat>
          <val>
            <numRef>
              <f>'Q2 Censored regions'!$D$188:$D$197</f>
            </numRef>
          </val>
          <smooth val="0"/>
        </ser>
        <ser>
          <idx val="2"/>
          <order val="2"/>
          <tx>
            <strRef>
              <f>'Q2 Censored regions'!E187</f>
            </strRef>
          </tx>
          <spPr>
            <a:ln w="22000">
              <a:solidFill>
                <a:srgbClr val="EB6834"/>
              </a:solidFill>
              <a:prstDash val="solid"/>
            </a:ln>
          </spPr>
          <marker>
            <symbol val="circle"/>
            <size val="6"/>
            <spPr>
              <a:solidFill>
                <a:srgbClr val="EB6834"/>
              </a:solidFill>
              <a:ln>
                <a:solidFill>
                  <a:srgbClr val="EB6834"/>
                </a:solidFill>
                <a:prstDash val="solid"/>
              </a:ln>
            </spPr>
          </marker>
          <cat>
            <numRef>
              <f>'Q2 Censored regions'!$A$188:$A$197</f>
            </numRef>
          </cat>
          <val>
            <numRef>
              <f>'Q2 Censored regions'!$E$188:$E$197</f>
            </numRef>
          </val>
          <smooth val="0"/>
        </ser>
        <axId val="10"/>
        <axId val="100"/>
      </lineChart>
      <barChart>
        <barDir val="col"/>
        <grouping val="clustered"/>
        <ser>
          <idx val="3"/>
          <order val="3"/>
          <tx>
            <strRef>
              <f>'Q2 Censored regions'!B187</f>
            </strRef>
          </tx>
          <spPr>
            <a:solidFill>
              <a:srgbClr val="D8D8D3"/>
            </a:solidFill>
            <a:ln>
              <a:noFill/>
              <a:prstDash val="solid"/>
            </a:ln>
          </spPr>
          <val>
            <numRef>
              <f>'Q2 Censored regions'!$B$188:$B$197</f>
            </numRef>
          </val>
        </ser>
        <gapWidth val="60"/>
        <axId val="10"/>
        <axId val="2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equal-exposure bucket (ordered by predicted)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loss cost per unit exposure</a:t>
                </a:r>
              </a:p>
            </rich>
          </tx>
        </title>
        <majorTickMark val="none"/>
        <minorTickMark val="none"/>
        <crossAx val="10"/>
        <crosses val="max"/>
      </valAx>
      <valAx>
        <axId val="2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exposure in bucket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8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R11 — total-loss Gini by seed</a:t>
            </a:r>
          </a:p>
        </rich>
      </tx>
    </title>
    <plotArea>
      <scatterChart>
        <ser>
          <idx val="0"/>
          <order val="0"/>
          <tx>
            <strRef>
              <f>'Q2 Censored regions'!B218</f>
            </strRef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spPr>
          </marker>
          <xVal>
            <numRef>
              <f>'Q2 Censored regions'!$I$219:$I$223</f>
            </numRef>
          </xVal>
          <yVal>
            <numRef>
              <f>'Q2 Censored regions'!$B$219:$B$223</f>
            </numRef>
          </yVal>
          <smooth val="0"/>
        </ser>
        <ser>
          <idx val="1"/>
          <order val="1"/>
          <tx>
            <strRef>
              <f>'Q2 Censored regions'!C218</f>
            </strRef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EB6834"/>
              </a:solidFill>
              <a:ln>
                <a:solidFill>
                  <a:srgbClr val="EB6834"/>
                </a:solidFill>
                <a:prstDash val="solid"/>
              </a:ln>
            </spPr>
          </marker>
          <xVal>
            <numRef>
              <f>'Q2 Censored regions'!$J$219:$J$223</f>
            </numRef>
          </xVal>
          <yVal>
            <numRef>
              <f>'Q2 Censored regions'!$C$219:$C$223</f>
            </numRef>
          </yVal>
          <smooth val="0"/>
        </ser>
        <ser>
          <idx val="2"/>
          <order val="2"/>
          <tx>
            <strRef>
              <f>'Q2 Censored regions'!D218</f>
            </strRef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1BAF7A"/>
              </a:solidFill>
              <a:ln>
                <a:solidFill>
                  <a:srgbClr val="1BAF7A"/>
                </a:solidFill>
                <a:prstDash val="solid"/>
              </a:ln>
            </spPr>
          </marker>
          <xVal>
            <numRef>
              <f>'Q2 Censored regions'!$K$219:$K$223</f>
            </numRef>
          </xVal>
          <yVal>
            <numRef>
              <f>'Q2 Censored regions'!$D$219:$D$223</f>
            </numRef>
          </yVal>
          <smooth val="0"/>
        </ser>
        <ser>
          <idx val="3"/>
          <order val="3"/>
          <tx>
            <strRef>
              <f>'Q2 Censored regions'!E218</f>
            </strRef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EDA100"/>
              </a:solidFill>
              <a:ln>
                <a:solidFill>
                  <a:srgbClr val="EDA100"/>
                </a:solidFill>
                <a:prstDash val="solid"/>
              </a:ln>
            </spPr>
          </marker>
          <xVal>
            <numRef>
              <f>'Q2 Censored regions'!$L$219:$L$223</f>
            </numRef>
          </xVal>
          <yVal>
            <numRef>
              <f>'Q2 Censored regions'!$E$219:$E$223</f>
            </numRef>
          </yVal>
          <smooth val="0"/>
        </ser>
        <ser>
          <idx val="4"/>
          <order val="4"/>
          <tx>
            <strRef>
              <f>'Q2 Censored regions'!F218</f>
            </strRef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E87BA4"/>
              </a:solidFill>
              <a:ln>
                <a:solidFill>
                  <a:srgbClr val="E87BA4"/>
                </a:solidFill>
                <a:prstDash val="solid"/>
              </a:ln>
            </spPr>
          </marker>
          <xVal>
            <numRef>
              <f>'Q2 Censored regions'!$M$219:$M$223</f>
            </numRef>
          </xVal>
          <yVal>
            <numRef>
              <f>'Q2 Censored regions'!$F$219:$F$223</f>
            </numRef>
          </yVal>
          <smooth val="0"/>
        </ser>
        <axId val="10"/>
        <axId val="20"/>
      </scatterChart>
      <valAx>
        <axId val="10"/>
        <scaling>
          <orientation val="minMax"/>
          <max val="6"/>
          <min val="0"/>
        </scaling>
        <delete val="1"/>
        <axPos val="l"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Gini on total loss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R11 lift — loss cost (lines) vs exposure (bars)</a:t>
            </a:r>
          </a:p>
        </rich>
      </tx>
    </title>
    <plotArea>
      <lineChart>
        <grouping val="standard"/>
        <ser>
          <idx val="0"/>
          <order val="0"/>
          <tx>
            <strRef>
              <f>'Q2 Censored regions'!C226</f>
            </strRef>
          </tx>
          <spPr>
            <a:ln w="22000">
              <a:solidFill>
                <a:srgbClr val="0B0B0B"/>
              </a:solidFill>
              <a:prstDash val="solid"/>
            </a:ln>
          </spPr>
          <marker>
            <symbol val="circle"/>
            <size val="6"/>
            <spPr>
              <a:solidFill>
                <a:srgbClr val="0B0B0B"/>
              </a:solidFill>
              <a:ln>
                <a:solidFill>
                  <a:srgbClr val="0B0B0B"/>
                </a:solidFill>
                <a:prstDash val="solid"/>
              </a:ln>
            </spPr>
          </marker>
          <cat>
            <numRef>
              <f>'Q2 Censored regions'!$A$227:$A$236</f>
            </numRef>
          </cat>
          <val>
            <numRef>
              <f>'Q2 Censored regions'!$C$227:$C$236</f>
            </numRef>
          </val>
          <smooth val="0"/>
        </ser>
        <ser>
          <idx val="1"/>
          <order val="1"/>
          <tx>
            <strRef>
              <f>'Q2 Censored regions'!D226</f>
            </strRef>
          </tx>
          <spPr>
            <a:ln w="22000">
              <a:solidFill>
                <a:srgbClr val="2A78D6"/>
              </a:solidFill>
              <a:prstDash val="solid"/>
            </a:ln>
          </spPr>
          <marker>
            <symbol val="circle"/>
            <size val="6"/>
            <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spPr>
          </marker>
          <cat>
            <numRef>
              <f>'Q2 Censored regions'!$A$227:$A$236</f>
            </numRef>
          </cat>
          <val>
            <numRef>
              <f>'Q2 Censored regions'!$D$227:$D$236</f>
            </numRef>
          </val>
          <smooth val="0"/>
        </ser>
        <ser>
          <idx val="2"/>
          <order val="2"/>
          <tx>
            <strRef>
              <f>'Q2 Censored regions'!E226</f>
            </strRef>
          </tx>
          <spPr>
            <a:ln w="22000">
              <a:solidFill>
                <a:srgbClr val="EB6834"/>
              </a:solidFill>
              <a:prstDash val="solid"/>
            </a:ln>
          </spPr>
          <marker>
            <symbol val="circle"/>
            <size val="6"/>
            <spPr>
              <a:solidFill>
                <a:srgbClr val="EB6834"/>
              </a:solidFill>
              <a:ln>
                <a:solidFill>
                  <a:srgbClr val="EB6834"/>
                </a:solidFill>
                <a:prstDash val="solid"/>
              </a:ln>
            </spPr>
          </marker>
          <cat>
            <numRef>
              <f>'Q2 Censored regions'!$A$227:$A$236</f>
            </numRef>
          </cat>
          <val>
            <numRef>
              <f>'Q2 Censored regions'!$E$227:$E$236</f>
            </numRef>
          </val>
          <smooth val="0"/>
        </ser>
        <axId val="10"/>
        <axId val="100"/>
      </lineChart>
      <barChart>
        <barDir val="col"/>
        <grouping val="clustered"/>
        <ser>
          <idx val="3"/>
          <order val="3"/>
          <tx>
            <strRef>
              <f>'Q2 Censored regions'!B226</f>
            </strRef>
          </tx>
          <spPr>
            <a:solidFill>
              <a:srgbClr val="D8D8D3"/>
            </a:solidFill>
            <a:ln>
              <a:noFill/>
              <a:prstDash val="solid"/>
            </a:ln>
          </spPr>
          <val>
            <numRef>
              <f>'Q2 Censored regions'!$B$227:$B$236</f>
            </numRef>
          </val>
        </ser>
        <gapWidth val="60"/>
        <axId val="10"/>
        <axId val="2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equal-exposure bucket (ordered by predicted)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loss cost per unit exposure</a:t>
                </a:r>
              </a:p>
            </rich>
          </tx>
        </title>
        <majorTickMark val="none"/>
        <minorTickMark val="none"/>
        <crossAx val="10"/>
        <crosses val="max"/>
      </valAx>
      <valAx>
        <axId val="2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exposure in bucket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0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R43 — total-loss Gini by seed</a:t>
            </a:r>
          </a:p>
        </rich>
      </tx>
    </title>
    <plotArea>
      <scatterChart>
        <ser>
          <idx val="0"/>
          <order val="0"/>
          <tx>
            <strRef>
              <f>'Q2 Censored regions'!B257</f>
            </strRef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spPr>
          </marker>
          <xVal>
            <numRef>
              <f>'Q2 Censored regions'!$I$258:$I$262</f>
            </numRef>
          </xVal>
          <yVal>
            <numRef>
              <f>'Q2 Censored regions'!$B$258:$B$262</f>
            </numRef>
          </yVal>
          <smooth val="0"/>
        </ser>
        <ser>
          <idx val="1"/>
          <order val="1"/>
          <tx>
            <strRef>
              <f>'Q2 Censored regions'!C257</f>
            </strRef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EB6834"/>
              </a:solidFill>
              <a:ln>
                <a:solidFill>
                  <a:srgbClr val="EB6834"/>
                </a:solidFill>
                <a:prstDash val="solid"/>
              </a:ln>
            </spPr>
          </marker>
          <xVal>
            <numRef>
              <f>'Q2 Censored regions'!$J$258:$J$262</f>
            </numRef>
          </xVal>
          <yVal>
            <numRef>
              <f>'Q2 Censored regions'!$C$258:$C$262</f>
            </numRef>
          </yVal>
          <smooth val="0"/>
        </ser>
        <ser>
          <idx val="2"/>
          <order val="2"/>
          <tx>
            <strRef>
              <f>'Q2 Censored regions'!D257</f>
            </strRef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1BAF7A"/>
              </a:solidFill>
              <a:ln>
                <a:solidFill>
                  <a:srgbClr val="1BAF7A"/>
                </a:solidFill>
                <a:prstDash val="solid"/>
              </a:ln>
            </spPr>
          </marker>
          <xVal>
            <numRef>
              <f>'Q2 Censored regions'!$K$258:$K$262</f>
            </numRef>
          </xVal>
          <yVal>
            <numRef>
              <f>'Q2 Censored regions'!$D$258:$D$262</f>
            </numRef>
          </yVal>
          <smooth val="0"/>
        </ser>
        <ser>
          <idx val="3"/>
          <order val="3"/>
          <tx>
            <strRef>
              <f>'Q2 Censored regions'!E257</f>
            </strRef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EDA100"/>
              </a:solidFill>
              <a:ln>
                <a:solidFill>
                  <a:srgbClr val="EDA100"/>
                </a:solidFill>
                <a:prstDash val="solid"/>
              </a:ln>
            </spPr>
          </marker>
          <xVal>
            <numRef>
              <f>'Q2 Censored regions'!$L$258:$L$262</f>
            </numRef>
          </xVal>
          <yVal>
            <numRef>
              <f>'Q2 Censored regions'!$E$258:$E$262</f>
            </numRef>
          </yVal>
          <smooth val="0"/>
        </ser>
        <ser>
          <idx val="4"/>
          <order val="4"/>
          <tx>
            <strRef>
              <f>'Q2 Censored regions'!F257</f>
            </strRef>
          </tx>
          <spPr>
            <a:ln>
              <a:noFill/>
              <a:prstDash val="solid"/>
            </a:ln>
          </spPr>
          <marker>
            <symbol val="circle"/>
            <size val="6"/>
            <spPr>
              <a:solidFill>
                <a:srgbClr val="E87BA4"/>
              </a:solidFill>
              <a:ln>
                <a:solidFill>
                  <a:srgbClr val="E87BA4"/>
                </a:solidFill>
                <a:prstDash val="solid"/>
              </a:ln>
            </spPr>
          </marker>
          <xVal>
            <numRef>
              <f>'Q2 Censored regions'!$M$258:$M$262</f>
            </numRef>
          </xVal>
          <yVal>
            <numRef>
              <f>'Q2 Censored regions'!$F$258:$F$262</f>
            </numRef>
          </yVal>
          <smooth val="0"/>
        </ser>
        <axId val="10"/>
        <axId val="20"/>
      </scatterChart>
      <valAx>
        <axId val="10"/>
        <scaling>
          <orientation val="minMax"/>
          <max val="6"/>
          <min val="0"/>
        </scaling>
        <delete val="1"/>
        <axPos val="l"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Gini on total loss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R43 lift — loss cost (lines) vs exposure (bars)</a:t>
            </a:r>
          </a:p>
        </rich>
      </tx>
    </title>
    <plotArea>
      <lineChart>
        <grouping val="standard"/>
        <ser>
          <idx val="0"/>
          <order val="0"/>
          <tx>
            <strRef>
              <f>'Q2 Censored regions'!C265</f>
            </strRef>
          </tx>
          <spPr>
            <a:ln w="22000">
              <a:solidFill>
                <a:srgbClr val="0B0B0B"/>
              </a:solidFill>
              <a:prstDash val="solid"/>
            </a:ln>
          </spPr>
          <marker>
            <symbol val="circle"/>
            <size val="6"/>
            <spPr>
              <a:solidFill>
                <a:srgbClr val="0B0B0B"/>
              </a:solidFill>
              <a:ln>
                <a:solidFill>
                  <a:srgbClr val="0B0B0B"/>
                </a:solidFill>
                <a:prstDash val="solid"/>
              </a:ln>
            </spPr>
          </marker>
          <cat>
            <numRef>
              <f>'Q2 Censored regions'!$A$266:$A$275</f>
            </numRef>
          </cat>
          <val>
            <numRef>
              <f>'Q2 Censored regions'!$C$266:$C$275</f>
            </numRef>
          </val>
          <smooth val="0"/>
        </ser>
        <ser>
          <idx val="1"/>
          <order val="1"/>
          <tx>
            <strRef>
              <f>'Q2 Censored regions'!D265</f>
            </strRef>
          </tx>
          <spPr>
            <a:ln w="22000">
              <a:solidFill>
                <a:srgbClr val="2A78D6"/>
              </a:solidFill>
              <a:prstDash val="solid"/>
            </a:ln>
          </spPr>
          <marker>
            <symbol val="circle"/>
            <size val="6"/>
            <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spPr>
          </marker>
          <cat>
            <numRef>
              <f>'Q2 Censored regions'!$A$266:$A$275</f>
            </numRef>
          </cat>
          <val>
            <numRef>
              <f>'Q2 Censored regions'!$D$266:$D$275</f>
            </numRef>
          </val>
          <smooth val="0"/>
        </ser>
        <ser>
          <idx val="2"/>
          <order val="2"/>
          <tx>
            <strRef>
              <f>'Q2 Censored regions'!E265</f>
            </strRef>
          </tx>
          <spPr>
            <a:ln w="22000">
              <a:solidFill>
                <a:srgbClr val="EB6834"/>
              </a:solidFill>
              <a:prstDash val="solid"/>
            </a:ln>
          </spPr>
          <marker>
            <symbol val="circle"/>
            <size val="6"/>
            <spPr>
              <a:solidFill>
                <a:srgbClr val="EB6834"/>
              </a:solidFill>
              <a:ln>
                <a:solidFill>
                  <a:srgbClr val="EB6834"/>
                </a:solidFill>
                <a:prstDash val="solid"/>
              </a:ln>
            </spPr>
          </marker>
          <cat>
            <numRef>
              <f>'Q2 Censored regions'!$A$266:$A$275</f>
            </numRef>
          </cat>
          <val>
            <numRef>
              <f>'Q2 Censored regions'!$E$266:$E$275</f>
            </numRef>
          </val>
          <smooth val="0"/>
        </ser>
        <axId val="10"/>
        <axId val="100"/>
      </lineChart>
      <barChart>
        <barDir val="col"/>
        <grouping val="clustered"/>
        <ser>
          <idx val="3"/>
          <order val="3"/>
          <tx>
            <strRef>
              <f>'Q2 Censored regions'!B265</f>
            </strRef>
          </tx>
          <spPr>
            <a:solidFill>
              <a:srgbClr val="D8D8D3"/>
            </a:solidFill>
            <a:ln>
              <a:noFill/>
              <a:prstDash val="solid"/>
            </a:ln>
          </spPr>
          <val>
            <numRef>
              <f>'Q2 Censored regions'!$B$266:$B$275</f>
            </numRef>
          </val>
        </ser>
        <gapWidth val="60"/>
        <axId val="10"/>
        <axId val="2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equal-exposure bucket (ordered by predicted)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loss cost per unit exposure</a:t>
                </a:r>
              </a:p>
            </rich>
          </tx>
        </title>
        <majorTickMark val="none"/>
        <minorTickMark val="none"/>
        <crossAx val="10"/>
        <crosses val="max"/>
      </valAx>
      <valAx>
        <axId val="2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exposure in bucket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Total-loss Gini — engineered vs raw features</a:t>
            </a:r>
          </a:p>
        </rich>
      </tx>
    </title>
    <plotArea>
      <lineChart>
        <grouping val="standard"/>
        <ser>
          <idx val="0"/>
          <order val="0"/>
          <tx>
            <strRef>
              <f>'Q3 Feature engineering'!B46</f>
            </strRef>
          </tx>
          <spPr>
            <a:ln w="22000">
              <a:solidFill>
                <a:srgbClr val="2A78D6"/>
              </a:solidFill>
              <a:prstDash val="solid"/>
            </a:ln>
          </spPr>
          <marker>
            <symbol val="circle"/>
            <size val="6"/>
            <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spPr>
          </marker>
          <cat>
            <numRef>
              <f>'Q3 Feature engineering'!$A$47:$A$50</f>
            </numRef>
          </cat>
          <val>
            <numRef>
              <f>'Q3 Feature engineering'!$B$47:$B$50</f>
            </numRef>
          </val>
          <smooth val="0"/>
        </ser>
        <ser>
          <idx val="1"/>
          <order val="1"/>
          <tx>
            <strRef>
              <f>'Q3 Feature engineering'!C46</f>
            </strRef>
          </tx>
          <spPr>
            <a:ln w="22000">
              <a:solidFill>
                <a:srgbClr val="6D28D9"/>
              </a:solidFill>
              <a:prstDash val="dash"/>
            </a:ln>
          </spPr>
          <marker>
            <symbol val="circle"/>
            <size val="6"/>
            <spPr>
              <a:solidFill>
                <a:srgbClr val="6D28D9"/>
              </a:solidFill>
              <a:ln>
                <a:solidFill>
                  <a:srgbClr val="6D28D9"/>
                </a:solidFill>
                <a:prstDash val="solid"/>
              </a:ln>
            </spPr>
          </marker>
          <cat>
            <numRef>
              <f>'Q3 Feature engineering'!$A$47:$A$50</f>
            </numRef>
          </cat>
          <val>
            <numRef>
              <f>'Q3 Feature engineering'!$C$47:$C$50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training rows (N)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Gini on total loss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 = 5,000 — loss cost (lines) vs exposure (bars)</a:t>
            </a:r>
          </a:p>
        </rich>
      </tx>
    </title>
    <plotArea>
      <lineChart>
        <grouping val="standard"/>
        <ser>
          <idx val="0"/>
          <order val="0"/>
          <tx>
            <strRef>
              <f>'Q3 Feature engineering'!C69</f>
            </strRef>
          </tx>
          <spPr>
            <a:ln w="22000">
              <a:solidFill>
                <a:srgbClr val="0B0B0B"/>
              </a:solidFill>
              <a:prstDash val="solid"/>
            </a:ln>
          </spPr>
          <marker>
            <symbol val="circle"/>
            <size val="6"/>
            <spPr>
              <a:solidFill>
                <a:srgbClr val="0B0B0B"/>
              </a:solidFill>
              <a:ln>
                <a:solidFill>
                  <a:srgbClr val="0B0B0B"/>
                </a:solidFill>
                <a:prstDash val="solid"/>
              </a:ln>
            </spPr>
          </marker>
          <cat>
            <numRef>
              <f>'Q3 Feature engineering'!$A$70:$A$79</f>
            </numRef>
          </cat>
          <val>
            <numRef>
              <f>'Q3 Feature engineering'!$C$70:$C$79</f>
            </numRef>
          </val>
          <smooth val="0"/>
        </ser>
        <ser>
          <idx val="1"/>
          <order val="1"/>
          <tx>
            <strRef>
              <f>'Q3 Feature engineering'!D69</f>
            </strRef>
          </tx>
          <spPr>
            <a:ln w="22000">
              <a:solidFill>
                <a:srgbClr val="2A78D6"/>
              </a:solidFill>
              <a:prstDash val="solid"/>
            </a:ln>
          </spPr>
          <marker>
            <symbol val="circle"/>
            <size val="6"/>
            <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spPr>
          </marker>
          <cat>
            <numRef>
              <f>'Q3 Feature engineering'!$A$70:$A$79</f>
            </numRef>
          </cat>
          <val>
            <numRef>
              <f>'Q3 Feature engineering'!$D$70:$D$79</f>
            </numRef>
          </val>
          <smooth val="0"/>
        </ser>
        <ser>
          <idx val="2"/>
          <order val="2"/>
          <tx>
            <strRef>
              <f>'Q3 Feature engineering'!E69</f>
            </strRef>
          </tx>
          <spPr>
            <a:ln w="22000">
              <a:solidFill>
                <a:srgbClr val="6D28D9"/>
              </a:solidFill>
              <a:prstDash val="dash"/>
            </a:ln>
          </spPr>
          <marker>
            <symbol val="circle"/>
            <size val="6"/>
            <spPr>
              <a:solidFill>
                <a:srgbClr val="6D28D9"/>
              </a:solidFill>
              <a:ln>
                <a:solidFill>
                  <a:srgbClr val="6D28D9"/>
                </a:solidFill>
                <a:prstDash val="solid"/>
              </a:ln>
            </spPr>
          </marker>
          <cat>
            <numRef>
              <f>'Q3 Feature engineering'!$A$70:$A$79</f>
            </numRef>
          </cat>
          <val>
            <numRef>
              <f>'Q3 Feature engineering'!$E$70:$E$79</f>
            </numRef>
          </val>
          <smooth val="0"/>
        </ser>
        <axId val="10"/>
        <axId val="100"/>
      </lineChart>
      <barChart>
        <barDir val="col"/>
        <grouping val="clustered"/>
        <ser>
          <idx val="3"/>
          <order val="3"/>
          <tx>
            <strRef>
              <f>'Q3 Feature engineering'!B69</f>
            </strRef>
          </tx>
          <spPr>
            <a:solidFill>
              <a:srgbClr val="D8D8D3"/>
            </a:solidFill>
            <a:ln>
              <a:noFill/>
              <a:prstDash val="solid"/>
            </a:ln>
          </spPr>
          <val>
            <numRef>
              <f>'Q3 Feature engineering'!$B$70:$B$79</f>
            </numRef>
          </val>
        </ser>
        <gapWidth val="60"/>
        <axId val="10"/>
        <axId val="2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equal-exposure bucket (ordered by predicted)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loss cost per unit exposure</a:t>
                </a:r>
              </a:p>
            </rich>
          </tx>
        </title>
        <majorTickMark val="none"/>
        <minorTickMark val="none"/>
        <crossAx val="10"/>
        <crosses val="max"/>
      </valAx>
      <valAx>
        <axId val="2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exposure in bucket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 = 10,000 — loss cost (lines) vs exposure (bars)</a:t>
            </a:r>
          </a:p>
        </rich>
      </tx>
    </title>
    <plotArea>
      <lineChart>
        <grouping val="standard"/>
        <ser>
          <idx val="0"/>
          <order val="0"/>
          <tx>
            <strRef>
              <f>'Q3 Feature engineering'!C90</f>
            </strRef>
          </tx>
          <spPr>
            <a:ln w="22000">
              <a:solidFill>
                <a:srgbClr val="0B0B0B"/>
              </a:solidFill>
              <a:prstDash val="solid"/>
            </a:ln>
          </spPr>
          <marker>
            <symbol val="circle"/>
            <size val="6"/>
            <spPr>
              <a:solidFill>
                <a:srgbClr val="0B0B0B"/>
              </a:solidFill>
              <a:ln>
                <a:solidFill>
                  <a:srgbClr val="0B0B0B"/>
                </a:solidFill>
                <a:prstDash val="solid"/>
              </a:ln>
            </spPr>
          </marker>
          <cat>
            <numRef>
              <f>'Q3 Feature engineering'!$A$91:$A$100</f>
            </numRef>
          </cat>
          <val>
            <numRef>
              <f>'Q3 Feature engineering'!$C$91:$C$100</f>
            </numRef>
          </val>
          <smooth val="0"/>
        </ser>
        <ser>
          <idx val="1"/>
          <order val="1"/>
          <tx>
            <strRef>
              <f>'Q3 Feature engineering'!D90</f>
            </strRef>
          </tx>
          <spPr>
            <a:ln w="22000">
              <a:solidFill>
                <a:srgbClr val="2A78D6"/>
              </a:solidFill>
              <a:prstDash val="solid"/>
            </a:ln>
          </spPr>
          <marker>
            <symbol val="circle"/>
            <size val="6"/>
            <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spPr>
          </marker>
          <cat>
            <numRef>
              <f>'Q3 Feature engineering'!$A$91:$A$100</f>
            </numRef>
          </cat>
          <val>
            <numRef>
              <f>'Q3 Feature engineering'!$D$91:$D$100</f>
            </numRef>
          </val>
          <smooth val="0"/>
        </ser>
        <ser>
          <idx val="2"/>
          <order val="2"/>
          <tx>
            <strRef>
              <f>'Q3 Feature engineering'!E90</f>
            </strRef>
          </tx>
          <spPr>
            <a:ln w="22000">
              <a:solidFill>
                <a:srgbClr val="6D28D9"/>
              </a:solidFill>
              <a:prstDash val="dash"/>
            </a:ln>
          </spPr>
          <marker>
            <symbol val="circle"/>
            <size val="6"/>
            <spPr>
              <a:solidFill>
                <a:srgbClr val="6D28D9"/>
              </a:solidFill>
              <a:ln>
                <a:solidFill>
                  <a:srgbClr val="6D28D9"/>
                </a:solidFill>
                <a:prstDash val="solid"/>
              </a:ln>
            </spPr>
          </marker>
          <cat>
            <numRef>
              <f>'Q3 Feature engineering'!$A$91:$A$100</f>
            </numRef>
          </cat>
          <val>
            <numRef>
              <f>'Q3 Feature engineering'!$E$91:$E$100</f>
            </numRef>
          </val>
          <smooth val="0"/>
        </ser>
        <axId val="10"/>
        <axId val="100"/>
      </lineChart>
      <barChart>
        <barDir val="col"/>
        <grouping val="clustered"/>
        <ser>
          <idx val="3"/>
          <order val="3"/>
          <tx>
            <strRef>
              <f>'Q3 Feature engineering'!B90</f>
            </strRef>
          </tx>
          <spPr>
            <a:solidFill>
              <a:srgbClr val="D8D8D3"/>
            </a:solidFill>
            <a:ln>
              <a:noFill/>
              <a:prstDash val="solid"/>
            </a:ln>
          </spPr>
          <val>
            <numRef>
              <f>'Q3 Feature engineering'!$B$91:$B$100</f>
            </numRef>
          </val>
        </ser>
        <gapWidth val="60"/>
        <axId val="10"/>
        <axId val="2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equal-exposure bucket (ordered by predicted)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loss cost per unit exposure</a:t>
                </a:r>
              </a:p>
            </rich>
          </tx>
        </title>
        <majorTickMark val="none"/>
        <minorTickMark val="none"/>
        <crossAx val="10"/>
        <crosses val="max"/>
      </valAx>
      <valAx>
        <axId val="2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exposure in bucket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 = 20,000 — loss cost (lines) vs exposure (bars)</a:t>
            </a:r>
          </a:p>
        </rich>
      </tx>
    </title>
    <plotArea>
      <lineChart>
        <grouping val="standard"/>
        <ser>
          <idx val="0"/>
          <order val="0"/>
          <tx>
            <strRef>
              <f>'Q3 Feature engineering'!C111</f>
            </strRef>
          </tx>
          <spPr>
            <a:ln w="22000">
              <a:solidFill>
                <a:srgbClr val="0B0B0B"/>
              </a:solidFill>
              <a:prstDash val="solid"/>
            </a:ln>
          </spPr>
          <marker>
            <symbol val="circle"/>
            <size val="6"/>
            <spPr>
              <a:solidFill>
                <a:srgbClr val="0B0B0B"/>
              </a:solidFill>
              <a:ln>
                <a:solidFill>
                  <a:srgbClr val="0B0B0B"/>
                </a:solidFill>
                <a:prstDash val="solid"/>
              </a:ln>
            </spPr>
          </marker>
          <cat>
            <numRef>
              <f>'Q3 Feature engineering'!$A$112:$A$121</f>
            </numRef>
          </cat>
          <val>
            <numRef>
              <f>'Q3 Feature engineering'!$C$112:$C$121</f>
            </numRef>
          </val>
          <smooth val="0"/>
        </ser>
        <ser>
          <idx val="1"/>
          <order val="1"/>
          <tx>
            <strRef>
              <f>'Q3 Feature engineering'!D111</f>
            </strRef>
          </tx>
          <spPr>
            <a:ln w="22000">
              <a:solidFill>
                <a:srgbClr val="2A78D6"/>
              </a:solidFill>
              <a:prstDash val="solid"/>
            </a:ln>
          </spPr>
          <marker>
            <symbol val="circle"/>
            <size val="6"/>
            <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spPr>
          </marker>
          <cat>
            <numRef>
              <f>'Q3 Feature engineering'!$A$112:$A$121</f>
            </numRef>
          </cat>
          <val>
            <numRef>
              <f>'Q3 Feature engineering'!$D$112:$D$121</f>
            </numRef>
          </val>
          <smooth val="0"/>
        </ser>
        <ser>
          <idx val="2"/>
          <order val="2"/>
          <tx>
            <strRef>
              <f>'Q3 Feature engineering'!E111</f>
            </strRef>
          </tx>
          <spPr>
            <a:ln w="22000">
              <a:solidFill>
                <a:srgbClr val="6D28D9"/>
              </a:solidFill>
              <a:prstDash val="dash"/>
            </a:ln>
          </spPr>
          <marker>
            <symbol val="circle"/>
            <size val="6"/>
            <spPr>
              <a:solidFill>
                <a:srgbClr val="6D28D9"/>
              </a:solidFill>
              <a:ln>
                <a:solidFill>
                  <a:srgbClr val="6D28D9"/>
                </a:solidFill>
                <a:prstDash val="solid"/>
              </a:ln>
            </spPr>
          </marker>
          <cat>
            <numRef>
              <f>'Q3 Feature engineering'!$A$112:$A$121</f>
            </numRef>
          </cat>
          <val>
            <numRef>
              <f>'Q3 Feature engineering'!$E$112:$E$121</f>
            </numRef>
          </val>
          <smooth val="0"/>
        </ser>
        <axId val="10"/>
        <axId val="100"/>
      </lineChart>
      <barChart>
        <barDir val="col"/>
        <grouping val="clustered"/>
        <ser>
          <idx val="3"/>
          <order val="3"/>
          <tx>
            <strRef>
              <f>'Q3 Feature engineering'!B111</f>
            </strRef>
          </tx>
          <spPr>
            <a:solidFill>
              <a:srgbClr val="D8D8D3"/>
            </a:solidFill>
            <a:ln>
              <a:noFill/>
              <a:prstDash val="solid"/>
            </a:ln>
          </spPr>
          <val>
            <numRef>
              <f>'Q3 Feature engineering'!$B$112:$B$121</f>
            </numRef>
          </val>
        </ser>
        <gapWidth val="60"/>
        <axId val="10"/>
        <axId val="2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equal-exposure bucket (ordered by predicted)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loss cost per unit exposure</a:t>
                </a:r>
              </a:p>
            </rich>
          </tx>
        </title>
        <majorTickMark val="none"/>
        <minorTickMark val="none"/>
        <crossAx val="10"/>
        <crosses val="max"/>
      </valAx>
      <valAx>
        <axId val="2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exposure in bucket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N = 100,000 — loss cost (lines) vs exposure (bars)</a:t>
            </a:r>
          </a:p>
        </rich>
      </tx>
    </title>
    <plotArea>
      <lineChart>
        <grouping val="standard"/>
        <ser>
          <idx val="0"/>
          <order val="0"/>
          <tx>
            <strRef>
              <f>'Q3 Feature engineering'!C132</f>
            </strRef>
          </tx>
          <spPr>
            <a:ln w="22000">
              <a:solidFill>
                <a:srgbClr val="0B0B0B"/>
              </a:solidFill>
              <a:prstDash val="solid"/>
            </a:ln>
          </spPr>
          <marker>
            <symbol val="circle"/>
            <size val="6"/>
            <spPr>
              <a:solidFill>
                <a:srgbClr val="0B0B0B"/>
              </a:solidFill>
              <a:ln>
                <a:solidFill>
                  <a:srgbClr val="0B0B0B"/>
                </a:solidFill>
                <a:prstDash val="solid"/>
              </a:ln>
            </spPr>
          </marker>
          <cat>
            <numRef>
              <f>'Q3 Feature engineering'!$A$133:$A$142</f>
            </numRef>
          </cat>
          <val>
            <numRef>
              <f>'Q3 Feature engineering'!$C$133:$C$142</f>
            </numRef>
          </val>
          <smooth val="0"/>
        </ser>
        <ser>
          <idx val="1"/>
          <order val="1"/>
          <tx>
            <strRef>
              <f>'Q3 Feature engineering'!D132</f>
            </strRef>
          </tx>
          <spPr>
            <a:ln w="22000">
              <a:solidFill>
                <a:srgbClr val="2A78D6"/>
              </a:solidFill>
              <a:prstDash val="solid"/>
            </a:ln>
          </spPr>
          <marker>
            <symbol val="circle"/>
            <size val="6"/>
            <spPr>
              <a:solidFill>
                <a:srgbClr val="2A78D6"/>
              </a:solidFill>
              <a:ln>
                <a:solidFill>
                  <a:srgbClr val="2A78D6"/>
                </a:solidFill>
                <a:prstDash val="solid"/>
              </a:ln>
            </spPr>
          </marker>
          <cat>
            <numRef>
              <f>'Q3 Feature engineering'!$A$133:$A$142</f>
            </numRef>
          </cat>
          <val>
            <numRef>
              <f>'Q3 Feature engineering'!$D$133:$D$142</f>
            </numRef>
          </val>
          <smooth val="0"/>
        </ser>
        <ser>
          <idx val="2"/>
          <order val="2"/>
          <tx>
            <strRef>
              <f>'Q3 Feature engineering'!E132</f>
            </strRef>
          </tx>
          <spPr>
            <a:ln w="22000">
              <a:solidFill>
                <a:srgbClr val="6D28D9"/>
              </a:solidFill>
              <a:prstDash val="dash"/>
            </a:ln>
          </spPr>
          <marker>
            <symbol val="circle"/>
            <size val="6"/>
            <spPr>
              <a:solidFill>
                <a:srgbClr val="6D28D9"/>
              </a:solidFill>
              <a:ln>
                <a:solidFill>
                  <a:srgbClr val="6D28D9"/>
                </a:solidFill>
                <a:prstDash val="solid"/>
              </a:ln>
            </spPr>
          </marker>
          <cat>
            <numRef>
              <f>'Q3 Feature engineering'!$A$133:$A$142</f>
            </numRef>
          </cat>
          <val>
            <numRef>
              <f>'Q3 Feature engineering'!$E$133:$E$142</f>
            </numRef>
          </val>
          <smooth val="0"/>
        </ser>
        <axId val="10"/>
        <axId val="100"/>
      </lineChart>
      <barChart>
        <barDir val="col"/>
        <grouping val="clustered"/>
        <ser>
          <idx val="3"/>
          <order val="3"/>
          <tx>
            <strRef>
              <f>'Q3 Feature engineering'!B132</f>
            </strRef>
          </tx>
          <spPr>
            <a:solidFill>
              <a:srgbClr val="D8D8D3"/>
            </a:solidFill>
            <a:ln>
              <a:noFill/>
              <a:prstDash val="solid"/>
            </a:ln>
          </spPr>
          <val>
            <numRef>
              <f>'Q3 Feature engineering'!$B$133:$B$142</f>
            </numRef>
          </val>
        </ser>
        <gapWidth val="60"/>
        <axId val="10"/>
        <axId val="2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equal-exposure bucket (ordered by predicted)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loss cost per unit exposure</a:t>
                </a:r>
              </a:p>
            </rich>
          </tx>
        </title>
        <majorTickMark val="none"/>
        <minorTickMark val="none"/>
        <crossAx val="10"/>
        <crosses val="max"/>
      </valAx>
      <valAx>
        <axId val="2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exposure in bucket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1.xml" Id="rId1" /><Relationship Type="http://schemas.openxmlformats.org/officeDocument/2006/relationships/chart" Target="/xl/charts/chart12.xml" Id="rId2" /><Relationship Type="http://schemas.openxmlformats.org/officeDocument/2006/relationships/chart" Target="/xl/charts/chart13.xml" Id="rId3" /><Relationship Type="http://schemas.openxmlformats.org/officeDocument/2006/relationships/chart" Target="/xl/charts/chart14.xml" Id="rId4" /><Relationship Type="http://schemas.openxmlformats.org/officeDocument/2006/relationships/chart" Target="/xl/charts/chart15.xml" Id="rId5" /><Relationship Type="http://schemas.openxmlformats.org/officeDocument/2006/relationships/chart" Target="/xl/charts/chart16.xml" Id="rId6" /><Relationship Type="http://schemas.openxmlformats.org/officeDocument/2006/relationships/chart" Target="/xl/charts/chart17.xml" Id="rId7" /><Relationship Type="http://schemas.openxmlformats.org/officeDocument/2006/relationships/chart" Target="/xl/charts/chart18.xml" Id="rId8" /><Relationship Type="http://schemas.openxmlformats.org/officeDocument/2006/relationships/chart" Target="/xl/charts/chart19.xml" Id="rId9" /><Relationship Type="http://schemas.openxmlformats.org/officeDocument/2006/relationships/chart" Target="/xl/charts/chart20.xml" Id="rId10" /><Relationship Type="http://schemas.openxmlformats.org/officeDocument/2006/relationships/chart" Target="/xl/charts/chart21.xml" Id="rId1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22.xml" Id="rId1" /><Relationship Type="http://schemas.openxmlformats.org/officeDocument/2006/relationships/chart" Target="/xl/charts/chart23.xml" Id="rId2" /><Relationship Type="http://schemas.openxmlformats.org/officeDocument/2006/relationships/chart" Target="/xl/charts/chart24.xml" Id="rId3" /><Relationship Type="http://schemas.openxmlformats.org/officeDocument/2006/relationships/chart" Target="/xl/charts/chart25.xml" Id="rId4" /><Relationship Type="http://schemas.openxmlformats.org/officeDocument/2006/relationships/chart" Target="/xl/charts/chart26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14</col>
      <colOff>0</colOff>
      <row>103</row>
      <rowOff>0</rowOff>
    </from>
    <ext cx="5940000" cy="302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14</col>
      <colOff>0</colOff>
      <row>127</row>
      <rowOff>0</rowOff>
    </from>
    <ext cx="5940000" cy="3024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14</col>
      <colOff>0</colOff>
      <row>148</row>
      <rowOff>0</rowOff>
    </from>
    <ext cx="5940000" cy="3024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14</col>
      <colOff>0</colOff>
      <row>172</row>
      <rowOff>0</rowOff>
    </from>
    <ext cx="5940000" cy="3024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14</col>
      <colOff>0</colOff>
      <row>193</row>
      <rowOff>0</rowOff>
    </from>
    <ext cx="5940000" cy="3024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14</col>
      <colOff>0</colOff>
      <row>217</row>
      <rowOff>0</rowOff>
    </from>
    <ext cx="5940000" cy="3024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14</col>
      <colOff>0</colOff>
      <row>238</row>
      <rowOff>0</rowOff>
    </from>
    <ext cx="5940000" cy="3024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14</col>
      <colOff>0</colOff>
      <row>262</row>
      <rowOff>0</rowOff>
    </from>
    <ext cx="5940000" cy="3024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14</col>
      <colOff>0</colOff>
      <row>283</row>
      <rowOff>0</rowOff>
    </from>
    <ext cx="5940000" cy="3024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14</col>
      <colOff>0</colOff>
      <row>301</row>
      <rowOff>0</rowOff>
    </from>
    <ext cx="5940000" cy="3024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7</row>
      <rowOff>0</rowOff>
    </from>
    <ext cx="6480000" cy="302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14</col>
      <colOff>0</colOff>
      <row>99</row>
      <rowOff>0</rowOff>
    </from>
    <ext cx="5940000" cy="3024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14</col>
      <colOff>0</colOff>
      <row>117</row>
      <rowOff>0</rowOff>
    </from>
    <ext cx="5940000" cy="3024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14</col>
      <colOff>0</colOff>
      <row>138</row>
      <rowOff>0</rowOff>
    </from>
    <ext cx="5940000" cy="3024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14</col>
      <colOff>0</colOff>
      <row>156</row>
      <rowOff>0</rowOff>
    </from>
    <ext cx="5940000" cy="3024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14</col>
      <colOff>0</colOff>
      <row>177</row>
      <rowOff>0</rowOff>
    </from>
    <ext cx="5940000" cy="3024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14</col>
      <colOff>0</colOff>
      <row>195</row>
      <rowOff>0</rowOff>
    </from>
    <ext cx="5940000" cy="3024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14</col>
      <colOff>0</colOff>
      <row>216</row>
      <rowOff>0</rowOff>
    </from>
    <ext cx="5940000" cy="3024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14</col>
      <colOff>0</colOff>
      <row>234</row>
      <rowOff>0</rowOff>
    </from>
    <ext cx="5940000" cy="3024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14</col>
      <colOff>0</colOff>
      <row>255</row>
      <rowOff>0</rowOff>
    </from>
    <ext cx="5940000" cy="3024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  <oneCellAnchor>
    <from>
      <col>14</col>
      <colOff>0</colOff>
      <row>273</row>
      <rowOff>0</rowOff>
    </from>
    <ext cx="5940000" cy="3024000"/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45</row>
      <rowOff>0</rowOff>
    </from>
    <ext cx="5940000" cy="3024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68</row>
      <rowOff>0</rowOff>
    </from>
    <ext cx="5940000" cy="3024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7</col>
      <colOff>0</colOff>
      <row>89</row>
      <rowOff>0</rowOff>
    </from>
    <ext cx="5940000" cy="3024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110</row>
      <rowOff>0</rowOff>
    </from>
    <ext cx="5940000" cy="3024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7</col>
      <colOff>0</colOff>
      <row>131</row>
      <rowOff>0</rowOff>
    </from>
    <ext cx="5940000" cy="3024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TabICL for motor pricing — does it work?</t>
        </is>
      </c>
    </row>
    <row r="2">
      <c r="A2" s="2" t="inlineStr">
        <is>
          <t>freMTPL2, 678,013 policies. Track B: 542,410 train / 135,603 fixed test, 20 resample draws per rung. Track A: leave-one-region-out, 21 regions train, held-out region tested, 5 seeds.</t>
        </is>
      </c>
    </row>
    <row r="3">
      <c r="A3" s="2" t="inlineStr">
        <is>
          <t>All ranking claims use Gini on TOTAL LOSS. The rate-based Gini has a degenerate solution: a c/exposure model charges every policy the same premium yet scores 0.4676 exposure-weighted Gini. On total loss it scores 0.</t>
        </is>
      </c>
    </row>
    <row r="6">
      <c r="A6" s="3" t="inlineStr">
        <is>
          <t>The three answers</t>
        </is>
      </c>
    </row>
    <row r="8">
      <c r="A8" s="4" t="inlineStr">
        <is>
          <t>Question</t>
        </is>
      </c>
      <c r="B8" s="5" t="inlineStr">
        <is>
          <t>Answer</t>
        </is>
      </c>
      <c r="C8" s="5" t="inlineStr">
        <is>
          <t>Evidence</t>
        </is>
      </c>
    </row>
    <row r="9">
      <c r="A9" s="6" t="inlineStr">
        <is>
          <t>1. Does TabICL work when data is thin?</t>
        </is>
      </c>
      <c r="B9" s="7" t="inlineStr">
        <is>
          <t>Ranking yes, pricing no.</t>
        </is>
      </c>
      <c r="C9" s="7" t="inlineStr">
        <is>
          <t>Leads total-loss Gini from N=5,000 and decisively at N=20,000 (0.412 vs 0.239, z~7.5). But does not out-price a constant premium until N=100,000; at N=5,000 the trivial model is better. Calibration ~0.45 — it prices the book at half its cost.</t>
        </is>
      </c>
    </row>
    <row r="10">
      <c r="A10" s="6" t="inlineStr">
        <is>
          <t>2. Does it hold up on a region it never saw?</t>
        </is>
      </c>
      <c r="B10" s="7" t="inlineStr">
        <is>
          <t>No — it degrades where shift is worst.</t>
        </is>
      </c>
      <c r="C10" s="7" t="inlineStr">
        <is>
          <t>xgb_hurdle takes 3 of 5 regions. On R11 (Ile-de-France, most distinct) TabICL loses ranking at z=-6.39, over-predicts 2.01x, and is the ONLY model beaten by charging every policy the same premium.</t>
        </is>
      </c>
    </row>
    <row r="11">
      <c r="A11" s="6" t="inlineStr">
        <is>
          <t>3. Does feature engineering matter?</t>
        </is>
      </c>
      <c r="B11" s="7" t="inlineStr">
        <is>
          <t>Yes below 20k, and it reverses by 100k.</t>
        </is>
      </c>
      <c r="C11" s="7" t="inlineStr">
        <is>
          <t>Raw features cost 0.060 total-loss Gini at N=5,000 (p=0.0009, losing 17/20 draws). At N=100,000 raw features WIN by 0.034 (p=0.0002, 18/20). The crossover sits where TabICL first prices better than a constant premium.</t>
        </is>
      </c>
    </row>
    <row r="14">
      <c r="A14" s="3" t="inlineStr">
        <is>
          <t>Headline numbers</t>
        </is>
      </c>
    </row>
    <row r="15">
      <c r="A15" s="2" t="inlineStr">
        <is>
          <t>Gini on total loss (higher better) and Tweedie deviance p=1.5 (lower better).</t>
        </is>
      </c>
    </row>
    <row r="17">
      <c r="A17" s="4" t="inlineStr">
        <is>
          <t>Rung</t>
        </is>
      </c>
      <c r="B17" s="5" t="inlineStr">
        <is>
          <t>Gini tabicl</t>
        </is>
      </c>
      <c r="C17" s="5" t="inlineStr">
        <is>
          <t>Gini xgb_hurdle</t>
        </is>
      </c>
      <c r="D17" s="5" t="inlineStr">
        <is>
          <t>Gini trivial</t>
        </is>
      </c>
      <c r="E17" s="5" t="inlineStr">
        <is>
          <t>Dev tabicl</t>
        </is>
      </c>
      <c r="F17" s="5" t="inlineStr">
        <is>
          <t>Dev xgb_hurdle</t>
        </is>
      </c>
      <c r="G17" s="5" t="inlineStr">
        <is>
          <t>Dev trivial</t>
        </is>
      </c>
    </row>
    <row r="18">
      <c r="A18" s="6" t="inlineStr">
        <is>
          <t>N = 5,000</t>
        </is>
      </c>
      <c r="B18" s="8" t="n">
        <v>0.3314</v>
      </c>
      <c r="C18" s="8" t="n">
        <v>0.0032</v>
      </c>
      <c r="D18" s="8" t="n">
        <v>-0</v>
      </c>
      <c r="E18" s="8" t="n">
        <v>98.64239999999999</v>
      </c>
      <c r="F18" s="8" t="n">
        <v>97.2616</v>
      </c>
      <c r="G18" s="8" t="n">
        <v>95.5249</v>
      </c>
    </row>
    <row r="19">
      <c r="A19" s="6" t="inlineStr">
        <is>
          <t>N = 10,000</t>
        </is>
      </c>
      <c r="B19" s="8" t="n">
        <v>0.3324</v>
      </c>
      <c r="C19" s="8" t="n">
        <v>0.1884</v>
      </c>
      <c r="D19" s="8" t="n">
        <v>-0</v>
      </c>
      <c r="E19" s="8" t="n">
        <v>95.5651</v>
      </c>
      <c r="F19" s="8" t="n">
        <v>95.8544</v>
      </c>
      <c r="G19" s="8" t="n">
        <v>95.60809999999999</v>
      </c>
    </row>
    <row r="20">
      <c r="A20" s="6" t="inlineStr">
        <is>
          <t>N = 20,000</t>
        </is>
      </c>
      <c r="B20" s="8" t="n">
        <v>0.4115</v>
      </c>
      <c r="C20" s="8" t="n">
        <v>0.2365</v>
      </c>
      <c r="D20" s="8" t="n">
        <v>-0</v>
      </c>
      <c r="E20" s="8" t="n">
        <v>93.2561</v>
      </c>
      <c r="F20" s="8" t="n">
        <v>94.053</v>
      </c>
      <c r="G20" s="8" t="n">
        <v>94.6069</v>
      </c>
    </row>
    <row r="21">
      <c r="A21" s="6" t="inlineStr">
        <is>
          <t>N = 100,000</t>
        </is>
      </c>
      <c r="B21" s="8" t="n">
        <v>0.4849</v>
      </c>
      <c r="C21" s="8" t="n">
        <v>0.447</v>
      </c>
      <c r="D21" s="8" t="n">
        <v>-0</v>
      </c>
      <c r="E21" s="8" t="n">
        <v>87.2757</v>
      </c>
      <c r="F21" s="8" t="n">
        <v>88.43340000000001</v>
      </c>
      <c r="G21" s="8" t="n">
        <v>94.0025</v>
      </c>
    </row>
    <row r="22">
      <c r="A22" s="6" t="inlineStr">
        <is>
          <t>N = 542,410</t>
        </is>
      </c>
      <c r="B22" s="8" t="n">
        <v>0.4507</v>
      </c>
      <c r="C22" s="8" t="n">
        <v>0.5426</v>
      </c>
      <c r="D22" s="8" t="n">
        <v>-0</v>
      </c>
      <c r="E22" s="8" t="n">
        <v>87.27760000000001</v>
      </c>
      <c r="F22" s="8" t="n">
        <v>82.67529999999999</v>
      </c>
      <c r="G22" s="8" t="n">
        <v>93.532</v>
      </c>
    </row>
    <row r="25">
      <c r="A25" s="9" t="inlineStr">
        <is>
          <t>How to read every lift chart in this workbook</t>
        </is>
      </c>
    </row>
    <row r="26">
      <c r="A26" s="2" t="inlineStr">
        <is>
          <t>Loss cost is drawn as LINES on the left axis — that is the quantity the model is judged on, and a line carries its shape across buckets. Exposure is drawn as BARS on the right axis: it is the weight behind each bucket, context rather than a competing quantity. A well-ranking model's predicted line rises with the actual line from bucket 1 to 10.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01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5" customWidth="1" min="4" max="4"/>
    <col width="15" customWidth="1" min="5" max="5"/>
    <col width="14" customWidth="1" min="6" max="6"/>
    <col width="11" customWidth="1" min="7" max="7"/>
    <col hidden="1" width="11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</cols>
  <sheetData>
    <row r="1">
      <c r="A1" s="10" t="inlineStr">
        <is>
          <t>Q1 · Does TabICL work when data is thin?</t>
        </is>
      </c>
    </row>
    <row r="2">
      <c r="A2" s="2" t="inlineStr">
        <is>
          <t>Same fixed 135,603-row test set at every rung, so all variation comes from the training draw. 20 draws at 5k/10k/20k/100k, 3 at full data.</t>
        </is>
      </c>
    </row>
    <row r="3">
      <c r="A3" s="2" t="inlineStr">
        <is>
          <t>Reference lines: one_over_exposure charges every policy the same premium (total-loss Gini 0 by construction); intercept charges a constant RATE, so its predicted loss tracks exposure and it is NOT a zero floor.</t>
        </is>
      </c>
    </row>
    <row r="5">
      <c r="A5" s="9" t="inlineStr">
        <is>
          <t>1 · Evaluation metrics by rung</t>
        </is>
      </c>
    </row>
    <row r="6">
      <c r="A6" s="2" t="inlineStr">
        <is>
          <t>Mean across draws. Best competitor per rung in bold blue.</t>
        </is>
      </c>
    </row>
    <row r="8">
      <c r="A8" s="11" t="inlineStr">
        <is>
          <t>Gini on total loss (artifact-free)</t>
        </is>
      </c>
    </row>
    <row r="9">
      <c r="A9" s="4" t="inlineStr">
        <is>
          <t>Model</t>
        </is>
      </c>
      <c r="B9" s="5" t="inlineStr">
        <is>
          <t>N = 5,000</t>
        </is>
      </c>
      <c r="C9" s="5" t="inlineStr">
        <is>
          <t>N = 10,000</t>
        </is>
      </c>
      <c r="D9" s="5" t="inlineStr">
        <is>
          <t>N = 20,000</t>
        </is>
      </c>
      <c r="E9" s="5" t="inlineStr">
        <is>
          <t>N = 100,000</t>
        </is>
      </c>
      <c r="F9" s="5" t="inlineStr">
        <is>
          <t>N = 542,410</t>
        </is>
      </c>
    </row>
    <row r="10">
      <c r="A10" s="6" t="inlineStr">
        <is>
          <t>tabicl</t>
        </is>
      </c>
      <c r="B10" s="12" t="n">
        <v>0.3314</v>
      </c>
      <c r="C10" s="12" t="n">
        <v>0.3324</v>
      </c>
      <c r="D10" s="12" t="n">
        <v>0.4115</v>
      </c>
      <c r="E10" s="12" t="n">
        <v>0.4849</v>
      </c>
      <c r="F10" s="8" t="n">
        <v>0.4507</v>
      </c>
    </row>
    <row r="11">
      <c r="A11" s="6" t="inlineStr">
        <is>
          <t>xgb_hurdle</t>
        </is>
      </c>
      <c r="B11" s="8" t="n">
        <v>0.0032</v>
      </c>
      <c r="C11" s="8" t="n">
        <v>0.1884</v>
      </c>
      <c r="D11" s="8" t="n">
        <v>0.2365</v>
      </c>
      <c r="E11" s="8" t="n">
        <v>0.447</v>
      </c>
      <c r="F11" s="12" t="n">
        <v>0.5426</v>
      </c>
    </row>
    <row r="12">
      <c r="A12" s="6" t="inlineStr">
        <is>
          <t>xgb_tweedie</t>
        </is>
      </c>
      <c r="B12" s="8" t="n">
        <v>0.2217</v>
      </c>
      <c r="C12" s="8" t="n">
        <v>0.2949</v>
      </c>
      <c r="D12" s="8" t="n">
        <v>0.2385</v>
      </c>
      <c r="E12" s="8" t="n">
        <v>0.3519</v>
      </c>
      <c r="F12" s="8" t="n">
        <v>0.463</v>
      </c>
    </row>
    <row r="13">
      <c r="A13" s="6" t="inlineStr">
        <is>
          <t>glm_hurdle</t>
        </is>
      </c>
      <c r="B13" s="8" t="n">
        <v>0.2262</v>
      </c>
      <c r="C13" s="8" t="n">
        <v>0.2453</v>
      </c>
      <c r="D13" s="8" t="n">
        <v>0.2362</v>
      </c>
      <c r="E13" s="8" t="n">
        <v>0.2581</v>
      </c>
      <c r="F13" s="8" t="n">
        <v>0.2928</v>
      </c>
    </row>
    <row r="14">
      <c r="A14" s="6" t="inlineStr">
        <is>
          <t>glm_tweedie</t>
        </is>
      </c>
      <c r="B14" s="8" t="n">
        <v>0.1742</v>
      </c>
      <c r="C14" s="8" t="n">
        <v>0.2038</v>
      </c>
      <c r="D14" s="8" t="n">
        <v>0.2016</v>
      </c>
      <c r="E14" s="8" t="n">
        <v>0.2184</v>
      </c>
      <c r="F14" s="8" t="n">
        <v>0.2844</v>
      </c>
    </row>
    <row r="15">
      <c r="A15" s="6" t="inlineStr">
        <is>
          <t>one_over_exposure</t>
        </is>
      </c>
      <c r="B15" s="8" t="n">
        <v>-0</v>
      </c>
      <c r="C15" s="8" t="n">
        <v>-0</v>
      </c>
      <c r="D15" s="8" t="n">
        <v>-0</v>
      </c>
      <c r="E15" s="8" t="n">
        <v>-0</v>
      </c>
      <c r="F15" s="8" t="n">
        <v>-0</v>
      </c>
    </row>
    <row r="16">
      <c r="A16" s="6" t="inlineStr">
        <is>
          <t>intercept</t>
        </is>
      </c>
      <c r="B16" s="8" t="n">
        <v>-0.0114</v>
      </c>
      <c r="C16" s="8" t="n">
        <v>-0.0114</v>
      </c>
      <c r="D16" s="8" t="n">
        <v>-0.0114</v>
      </c>
      <c r="E16" s="8" t="n">
        <v>-0.0114</v>
      </c>
      <c r="F16" s="8" t="n">
        <v>-0.0114</v>
      </c>
    </row>
    <row r="18">
      <c r="A18" s="11" t="inlineStr">
        <is>
          <t>Exposure-weighted Gini (rate)</t>
        </is>
      </c>
    </row>
    <row r="19">
      <c r="A19" s="4" t="inlineStr">
        <is>
          <t>Model</t>
        </is>
      </c>
      <c r="B19" s="5" t="inlineStr">
        <is>
          <t>N = 5,000</t>
        </is>
      </c>
      <c r="C19" s="5" t="inlineStr">
        <is>
          <t>N = 10,000</t>
        </is>
      </c>
      <c r="D19" s="5" t="inlineStr">
        <is>
          <t>N = 20,000</t>
        </is>
      </c>
      <c r="E19" s="5" t="inlineStr">
        <is>
          <t>N = 100,000</t>
        </is>
      </c>
      <c r="F19" s="5" t="inlineStr">
        <is>
          <t>N = 542,410</t>
        </is>
      </c>
    </row>
    <row r="20">
      <c r="A20" s="6" t="inlineStr">
        <is>
          <t>tabicl</t>
        </is>
      </c>
      <c r="B20" s="12" t="n">
        <v>0.4897</v>
      </c>
      <c r="C20" s="12" t="n">
        <v>0.5298</v>
      </c>
      <c r="D20" s="12" t="n">
        <v>0.5513</v>
      </c>
      <c r="E20" s="12" t="n">
        <v>0.5748</v>
      </c>
      <c r="F20" s="8" t="n">
        <v>0.5594</v>
      </c>
    </row>
    <row r="21">
      <c r="A21" s="6" t="inlineStr">
        <is>
          <t>xgb_hurdle</t>
        </is>
      </c>
      <c r="B21" s="8" t="n">
        <v>0.4679</v>
      </c>
      <c r="C21" s="8" t="n">
        <v>0.5013</v>
      </c>
      <c r="D21" s="8" t="n">
        <v>0.5253</v>
      </c>
      <c r="E21" s="8" t="n">
        <v>0.5653</v>
      </c>
      <c r="F21" s="12" t="n">
        <v>0.6035</v>
      </c>
    </row>
    <row r="22">
      <c r="A22" s="6" t="inlineStr">
        <is>
          <t>xgb_tweedie</t>
        </is>
      </c>
      <c r="B22" s="8" t="n">
        <v>0.385</v>
      </c>
      <c r="C22" s="8" t="n">
        <v>0.4329</v>
      </c>
      <c r="D22" s="8" t="n">
        <v>0.4553</v>
      </c>
      <c r="E22" s="8" t="n">
        <v>0.4859</v>
      </c>
      <c r="F22" s="8" t="n">
        <v>0.5185</v>
      </c>
    </row>
    <row r="23">
      <c r="A23" s="6" t="inlineStr">
        <is>
          <t>glm_hurdle</t>
        </is>
      </c>
      <c r="B23" s="8" t="n">
        <v>0.4176</v>
      </c>
      <c r="C23" s="8" t="n">
        <v>0.4559</v>
      </c>
      <c r="D23" s="8" t="n">
        <v>0.4704</v>
      </c>
      <c r="E23" s="8" t="n">
        <v>0.5101</v>
      </c>
      <c r="F23" s="8" t="n">
        <v>0.524</v>
      </c>
    </row>
    <row r="24">
      <c r="A24" s="6" t="inlineStr">
        <is>
          <t>glm_tweedie</t>
        </is>
      </c>
      <c r="B24" s="8" t="n">
        <v>0.304</v>
      </c>
      <c r="C24" s="8" t="n">
        <v>0.3511</v>
      </c>
      <c r="D24" s="8" t="n">
        <v>0.3509</v>
      </c>
      <c r="E24" s="8" t="n">
        <v>0.3941</v>
      </c>
      <c r="F24" s="8" t="n">
        <v>0.4503</v>
      </c>
    </row>
    <row r="25">
      <c r="A25" s="6" t="inlineStr">
        <is>
          <t>one_over_exposure</t>
        </is>
      </c>
      <c r="B25" s="8" t="n">
        <v>0.4676</v>
      </c>
      <c r="C25" s="8" t="n">
        <v>0.4676</v>
      </c>
      <c r="D25" s="8" t="n">
        <v>0.4676</v>
      </c>
      <c r="E25" s="8" t="n">
        <v>0.4676</v>
      </c>
      <c r="F25" s="8" t="n">
        <v>0.4676</v>
      </c>
    </row>
    <row r="26">
      <c r="A26" s="6" t="inlineStr">
        <is>
          <t>intercept</t>
        </is>
      </c>
      <c r="B26" s="8" t="n">
        <v>-0</v>
      </c>
      <c r="C26" s="8" t="n">
        <v>-0</v>
      </c>
      <c r="D26" s="8" t="n">
        <v>-0</v>
      </c>
      <c r="E26" s="8" t="n">
        <v>-0</v>
      </c>
      <c r="F26" s="8" t="n">
        <v>-0</v>
      </c>
    </row>
    <row r="28">
      <c r="A28" s="11" t="inlineStr">
        <is>
          <t>Gini, full-term policies (exp &gt;= 0.95)</t>
        </is>
      </c>
    </row>
    <row r="29">
      <c r="A29" s="4" t="inlineStr">
        <is>
          <t>Model</t>
        </is>
      </c>
      <c r="B29" s="5" t="inlineStr">
        <is>
          <t>N = 5,000</t>
        </is>
      </c>
      <c r="C29" s="5" t="inlineStr">
        <is>
          <t>N = 10,000</t>
        </is>
      </c>
      <c r="D29" s="5" t="inlineStr">
        <is>
          <t>N = 20,000</t>
        </is>
      </c>
      <c r="E29" s="5" t="inlineStr">
        <is>
          <t>N = 100,000</t>
        </is>
      </c>
      <c r="F29" s="5" t="inlineStr">
        <is>
          <t>N = 542,410</t>
        </is>
      </c>
    </row>
    <row r="30">
      <c r="A30" s="6" t="inlineStr">
        <is>
          <t>tabicl</t>
        </is>
      </c>
      <c r="B30" s="12" t="n">
        <v>0.3131</v>
      </c>
      <c r="C30" s="12" t="n">
        <v>0.3401</v>
      </c>
      <c r="D30" s="12" t="n">
        <v>0.3619</v>
      </c>
      <c r="E30" s="12" t="n">
        <v>0.3927</v>
      </c>
      <c r="F30" s="8" t="n">
        <v>0.3749</v>
      </c>
    </row>
    <row r="31">
      <c r="A31" s="6" t="inlineStr">
        <is>
          <t>xgb_hurdle</t>
        </is>
      </c>
      <c r="B31" s="8" t="n">
        <v>0.0248</v>
      </c>
      <c r="C31" s="8" t="n">
        <v>0.2452</v>
      </c>
      <c r="D31" s="8" t="n">
        <v>0.2971</v>
      </c>
      <c r="E31" s="8" t="n">
        <v>0.3434</v>
      </c>
      <c r="F31" s="12" t="n">
        <v>0.3942</v>
      </c>
    </row>
    <row r="32">
      <c r="A32" s="6" t="inlineStr">
        <is>
          <t>xgb_tweedie</t>
        </is>
      </c>
      <c r="B32" s="8" t="n">
        <v>0.2337</v>
      </c>
      <c r="C32" s="8" t="n">
        <v>0.28</v>
      </c>
      <c r="D32" s="8" t="n">
        <v>0.3143</v>
      </c>
      <c r="E32" s="8" t="n">
        <v>0.3287</v>
      </c>
      <c r="F32" s="8" t="n">
        <v>0.3701</v>
      </c>
    </row>
    <row r="33">
      <c r="A33" s="6" t="inlineStr">
        <is>
          <t>glm_hurdle</t>
        </is>
      </c>
      <c r="B33" s="8" t="n">
        <v>0.1971</v>
      </c>
      <c r="C33" s="8" t="n">
        <v>0.2125</v>
      </c>
      <c r="D33" s="8" t="n">
        <v>0.2338</v>
      </c>
      <c r="E33" s="8" t="n">
        <v>0.2734</v>
      </c>
      <c r="F33" s="8" t="n">
        <v>0.2823</v>
      </c>
    </row>
    <row r="34">
      <c r="A34" s="6" t="inlineStr">
        <is>
          <t>glm_tweedie</t>
        </is>
      </c>
      <c r="B34" s="8" t="n">
        <v>0.2023</v>
      </c>
      <c r="C34" s="8" t="n">
        <v>0.203</v>
      </c>
      <c r="D34" s="8" t="n">
        <v>0.2206</v>
      </c>
      <c r="E34" s="8" t="n">
        <v>0.2345</v>
      </c>
      <c r="F34" s="8" t="n">
        <v>0.2507</v>
      </c>
    </row>
    <row r="35">
      <c r="A35" s="6" t="inlineStr">
        <is>
          <t>one_over_exposure</t>
        </is>
      </c>
      <c r="B35" s="8" t="n">
        <v>0.0219</v>
      </c>
      <c r="C35" s="8" t="n">
        <v>0.0219</v>
      </c>
      <c r="D35" s="8" t="n">
        <v>0.0219</v>
      </c>
      <c r="E35" s="8" t="n">
        <v>0.0219</v>
      </c>
      <c r="F35" s="8" t="n">
        <v>0.0219</v>
      </c>
    </row>
    <row r="36">
      <c r="A36" s="6" t="inlineStr">
        <is>
          <t>intercept</t>
        </is>
      </c>
      <c r="B36" s="8" t="n">
        <v>0</v>
      </c>
      <c r="C36" s="8" t="n">
        <v>0</v>
      </c>
      <c r="D36" s="8" t="n">
        <v>0</v>
      </c>
      <c r="E36" s="8" t="n">
        <v>0</v>
      </c>
      <c r="F36" s="8" t="n">
        <v>0</v>
      </c>
    </row>
    <row r="38">
      <c r="A38" s="11" t="inlineStr">
        <is>
          <t>Mean Tweedie deviance (p=1.5)</t>
        </is>
      </c>
    </row>
    <row r="39">
      <c r="A39" s="4" t="inlineStr">
        <is>
          <t>Model</t>
        </is>
      </c>
      <c r="B39" s="5" t="inlineStr">
        <is>
          <t>N = 5,000</t>
        </is>
      </c>
      <c r="C39" s="5" t="inlineStr">
        <is>
          <t>N = 10,000</t>
        </is>
      </c>
      <c r="D39" s="5" t="inlineStr">
        <is>
          <t>N = 20,000</t>
        </is>
      </c>
      <c r="E39" s="5" t="inlineStr">
        <is>
          <t>N = 100,000</t>
        </is>
      </c>
      <c r="F39" s="5" t="inlineStr">
        <is>
          <t>N = 542,410</t>
        </is>
      </c>
    </row>
    <row r="40">
      <c r="A40" s="6" t="inlineStr">
        <is>
          <t>tabicl</t>
        </is>
      </c>
      <c r="B40" s="8" t="n">
        <v>98.64239999999999</v>
      </c>
      <c r="C40" s="12" t="n">
        <v>95.5651</v>
      </c>
      <c r="D40" s="12" t="n">
        <v>93.2561</v>
      </c>
      <c r="E40" s="12" t="n">
        <v>87.2757</v>
      </c>
      <c r="F40" s="8" t="n">
        <v>87.27760000000001</v>
      </c>
    </row>
    <row r="41">
      <c r="A41" s="6" t="inlineStr">
        <is>
          <t>xgb_hurdle</t>
        </is>
      </c>
      <c r="B41" s="12" t="n">
        <v>97.2616</v>
      </c>
      <c r="C41" s="8" t="n">
        <v>95.8544</v>
      </c>
      <c r="D41" s="8" t="n">
        <v>94.053</v>
      </c>
      <c r="E41" s="8" t="n">
        <v>88.43340000000001</v>
      </c>
      <c r="F41" s="12" t="n">
        <v>82.67529999999999</v>
      </c>
    </row>
    <row r="42">
      <c r="A42" s="6" t="inlineStr">
        <is>
          <t>xgb_tweedie</t>
        </is>
      </c>
      <c r="B42" s="8" t="n">
        <v>113.0453</v>
      </c>
      <c r="C42" s="8" t="n">
        <v>102.8119</v>
      </c>
      <c r="D42" s="8" t="n">
        <v>100.7567</v>
      </c>
      <c r="E42" s="8" t="n">
        <v>91.1006</v>
      </c>
      <c r="F42" s="8" t="n">
        <v>88.09</v>
      </c>
    </row>
    <row r="43">
      <c r="A43" s="6" t="inlineStr">
        <is>
          <t>glm_hurdle</t>
        </is>
      </c>
      <c r="B43" s="8" t="n">
        <v>98.1528</v>
      </c>
      <c r="C43" s="8" t="n">
        <v>95.7</v>
      </c>
      <c r="D43" s="8" t="n">
        <v>94.55119999999999</v>
      </c>
      <c r="E43" s="8" t="n">
        <v>92.825</v>
      </c>
      <c r="F43" s="8" t="n">
        <v>91.64790000000001</v>
      </c>
    </row>
    <row r="44">
      <c r="A44" s="6" t="inlineStr">
        <is>
          <t>glm_tweedie</t>
        </is>
      </c>
      <c r="B44" s="8" t="n">
        <v>104.2422</v>
      </c>
      <c r="C44" s="8" t="n">
        <v>100.3489</v>
      </c>
      <c r="D44" s="8" t="n">
        <v>99.0429</v>
      </c>
      <c r="E44" s="8" t="n">
        <v>95.86579999999999</v>
      </c>
      <c r="F44" s="8" t="n">
        <v>92.04519999999999</v>
      </c>
    </row>
    <row r="45">
      <c r="A45" s="6" t="inlineStr">
        <is>
          <t>one_over_exposure</t>
        </is>
      </c>
      <c r="B45" s="8" t="n">
        <v>95.5249</v>
      </c>
      <c r="C45" s="8" t="n">
        <v>95.60809999999999</v>
      </c>
      <c r="D45" s="8" t="n">
        <v>94.6069</v>
      </c>
      <c r="E45" s="8" t="n">
        <v>94.0025</v>
      </c>
      <c r="F45" s="8" t="n">
        <v>93.532</v>
      </c>
    </row>
    <row r="46">
      <c r="A46" s="6" t="inlineStr">
        <is>
          <t>intercept</t>
        </is>
      </c>
      <c r="B46" s="8" t="n">
        <v>104.9482</v>
      </c>
      <c r="C46" s="8" t="n">
        <v>105.0417</v>
      </c>
      <c r="D46" s="8" t="n">
        <v>103.9619</v>
      </c>
      <c r="E46" s="8" t="n">
        <v>103.3078</v>
      </c>
      <c r="F46" s="8" t="n">
        <v>102.8017</v>
      </c>
    </row>
    <row r="48">
      <c r="A48" s="11" t="inlineStr">
        <is>
          <t>Calibration (predicted / actual)</t>
        </is>
      </c>
    </row>
    <row r="49">
      <c r="A49" s="4" t="inlineStr">
        <is>
          <t>Model</t>
        </is>
      </c>
      <c r="B49" s="5" t="inlineStr">
        <is>
          <t>N = 5,000</t>
        </is>
      </c>
      <c r="C49" s="5" t="inlineStr">
        <is>
          <t>N = 10,000</t>
        </is>
      </c>
      <c r="D49" s="5" t="inlineStr">
        <is>
          <t>N = 20,000</t>
        </is>
      </c>
      <c r="E49" s="5" t="inlineStr">
        <is>
          <t>N = 100,000</t>
        </is>
      </c>
      <c r="F49" s="5" t="inlineStr">
        <is>
          <t>N = 542,410</t>
        </is>
      </c>
    </row>
    <row r="50">
      <c r="A50" s="6" t="inlineStr">
        <is>
          <t>tabicl</t>
        </is>
      </c>
      <c r="B50" s="8" t="n">
        <v>0.4251</v>
      </c>
      <c r="C50" s="8" t="n">
        <v>0.4555</v>
      </c>
      <c r="D50" s="8" t="n">
        <v>0.4527</v>
      </c>
      <c r="E50" s="8" t="n">
        <v>0.5493</v>
      </c>
      <c r="F50" s="8" t="n">
        <v>0.6835</v>
      </c>
    </row>
    <row r="51">
      <c r="A51" s="6" t="inlineStr">
        <is>
          <t>xgb_hurdle</t>
        </is>
      </c>
      <c r="B51" s="8" t="n">
        <v>0.5617</v>
      </c>
      <c r="C51" s="8" t="n">
        <v>0.522</v>
      </c>
      <c r="D51" s="8" t="n">
        <v>0.5422</v>
      </c>
      <c r="E51" s="8" t="n">
        <v>0.5367</v>
      </c>
      <c r="F51" s="8" t="n">
        <v>0.539</v>
      </c>
    </row>
    <row r="52">
      <c r="A52" s="6" t="inlineStr">
        <is>
          <t>xgb_tweedie</t>
        </is>
      </c>
      <c r="B52" s="8" t="n">
        <v>0.3031</v>
      </c>
      <c r="C52" s="8" t="n">
        <v>0.3879</v>
      </c>
      <c r="D52" s="8" t="n">
        <v>0.4132</v>
      </c>
      <c r="E52" s="8" t="n">
        <v>0.5744</v>
      </c>
      <c r="F52" s="8" t="n">
        <v>0.5716</v>
      </c>
    </row>
    <row r="53">
      <c r="A53" s="6" t="inlineStr">
        <is>
          <t>glm_hurdle</t>
        </is>
      </c>
      <c r="B53" s="8" t="n">
        <v>0.5704</v>
      </c>
      <c r="C53" s="8" t="n">
        <v>0.574</v>
      </c>
      <c r="D53" s="8" t="n">
        <v>0.6026</v>
      </c>
      <c r="E53" s="8" t="n">
        <v>0.5643</v>
      </c>
      <c r="F53" s="8" t="n">
        <v>0.5755</v>
      </c>
    </row>
    <row r="54">
      <c r="A54" s="6" t="inlineStr">
        <is>
          <t>glm_tweedie</t>
        </is>
      </c>
      <c r="B54" s="12" t="n">
        <v>0.6373</v>
      </c>
      <c r="C54" s="12" t="n">
        <v>0.6803</v>
      </c>
      <c r="D54" s="12" t="n">
        <v>0.72</v>
      </c>
      <c r="E54" s="12" t="n">
        <v>0.7118</v>
      </c>
      <c r="F54" s="12" t="n">
        <v>0.7237</v>
      </c>
    </row>
    <row r="55">
      <c r="A55" s="6" t="inlineStr">
        <is>
          <t>one_over_exposure</t>
        </is>
      </c>
      <c r="B55" s="8" t="n">
        <v>0.6572</v>
      </c>
      <c r="C55" s="8" t="n">
        <v>0.7127</v>
      </c>
      <c r="D55" s="8" t="n">
        <v>0.7279</v>
      </c>
      <c r="E55" s="8" t="n">
        <v>0.7075</v>
      </c>
      <c r="F55" s="8" t="n">
        <v>0.7204</v>
      </c>
    </row>
    <row r="56">
      <c r="A56" s="6" t="inlineStr">
        <is>
          <t>intercept</t>
        </is>
      </c>
      <c r="B56" s="8" t="n">
        <v>0.6545</v>
      </c>
      <c r="C56" s="8" t="n">
        <v>0.71</v>
      </c>
      <c r="D56" s="8" t="n">
        <v>0.7252999999999999</v>
      </c>
      <c r="E56" s="8" t="n">
        <v>0.705</v>
      </c>
      <c r="F56" s="8" t="n">
        <v>0.7178</v>
      </c>
    </row>
    <row r="59">
      <c r="A59" s="9" t="inlineStr">
        <is>
          <t>2 · Variance across draws</t>
        </is>
      </c>
    </row>
    <row r="60">
      <c r="A60" s="2" t="inlineStr">
        <is>
          <t>At N=542,410 the subsample is the whole pool, so SD there is model-internal randomness only and is not comparable to smaller rungs.</t>
        </is>
      </c>
    </row>
    <row r="62">
      <c r="A62" s="4" t="inlineStr">
        <is>
          <t>Model</t>
        </is>
      </c>
      <c r="B62" s="5" t="inlineStr">
        <is>
          <t>Rung</t>
        </is>
      </c>
      <c r="C62" s="5" t="inlineStr">
        <is>
          <t>Draws</t>
        </is>
      </c>
      <c r="D62" s="5" t="inlineStr">
        <is>
          <t>Mean</t>
        </is>
      </c>
      <c r="E62" s="5" t="inlineStr">
        <is>
          <t>SD</t>
        </is>
      </c>
      <c r="F62" s="5" t="inlineStr">
        <is>
          <t>CV</t>
        </is>
      </c>
      <c r="G62" s="5" t="inlineStr">
        <is>
          <t>Min</t>
        </is>
      </c>
      <c r="H62" s="5" t="inlineStr">
        <is>
          <t>Max</t>
        </is>
      </c>
    </row>
    <row r="63">
      <c r="A63" s="6" t="inlineStr">
        <is>
          <t>tabicl</t>
        </is>
      </c>
      <c r="B63" s="7" t="inlineStr">
        <is>
          <t>5,000</t>
        </is>
      </c>
      <c r="C63" s="8" t="n">
        <v>20</v>
      </c>
      <c r="D63" s="8" t="n">
        <v>0.3314</v>
      </c>
      <c r="E63" s="8" t="n">
        <v>0.1149</v>
      </c>
      <c r="F63" s="8" t="n">
        <v>0.3466</v>
      </c>
      <c r="G63" s="8" t="n">
        <v>0.0775</v>
      </c>
      <c r="H63" s="8" t="n">
        <v>0.4971</v>
      </c>
    </row>
    <row r="64">
      <c r="A64" s="6" t="inlineStr">
        <is>
          <t>tabicl</t>
        </is>
      </c>
      <c r="B64" s="7" t="inlineStr">
        <is>
          <t>10,000</t>
        </is>
      </c>
      <c r="C64" s="8" t="n">
        <v>20</v>
      </c>
      <c r="D64" s="8" t="n">
        <v>0.3324</v>
      </c>
      <c r="E64" s="8" t="n">
        <v>0.1105</v>
      </c>
      <c r="F64" s="8" t="n">
        <v>0.3323</v>
      </c>
      <c r="G64" s="8" t="n">
        <v>0.1643</v>
      </c>
      <c r="H64" s="8" t="n">
        <v>0.4929</v>
      </c>
    </row>
    <row r="65">
      <c r="A65" s="6" t="inlineStr">
        <is>
          <t>tabicl</t>
        </is>
      </c>
      <c r="B65" s="7" t="inlineStr">
        <is>
          <t>20,000</t>
        </is>
      </c>
      <c r="C65" s="8" t="n">
        <v>20</v>
      </c>
      <c r="D65" s="8" t="n">
        <v>0.4115</v>
      </c>
      <c r="E65" s="8" t="n">
        <v>0.0704</v>
      </c>
      <c r="F65" s="8" t="n">
        <v>0.1711</v>
      </c>
      <c r="G65" s="8" t="n">
        <v>0.2873</v>
      </c>
      <c r="H65" s="8" t="n">
        <v>0.504</v>
      </c>
    </row>
    <row r="66">
      <c r="A66" s="6" t="inlineStr">
        <is>
          <t>tabicl</t>
        </is>
      </c>
      <c r="B66" s="7" t="inlineStr">
        <is>
          <t>100,000</t>
        </is>
      </c>
      <c r="C66" s="8" t="n">
        <v>20</v>
      </c>
      <c r="D66" s="8" t="n">
        <v>0.4849</v>
      </c>
      <c r="E66" s="8" t="n">
        <v>0.0399</v>
      </c>
      <c r="F66" s="8" t="n">
        <v>0.0822</v>
      </c>
      <c r="G66" s="8" t="n">
        <v>0.3938</v>
      </c>
      <c r="H66" s="8" t="n">
        <v>0.5389</v>
      </c>
    </row>
    <row r="67">
      <c r="A67" s="6" t="inlineStr">
        <is>
          <t>tabicl</t>
        </is>
      </c>
      <c r="B67" s="7" t="inlineStr">
        <is>
          <t>542,410</t>
        </is>
      </c>
      <c r="C67" s="8" t="n">
        <v>3</v>
      </c>
      <c r="D67" s="8" t="n">
        <v>0.4507</v>
      </c>
      <c r="E67" s="8" t="n">
        <v>0.0451</v>
      </c>
      <c r="F67" s="8" t="n">
        <v>0.1001</v>
      </c>
      <c r="G67" s="8" t="n">
        <v>0.424</v>
      </c>
      <c r="H67" s="8" t="n">
        <v>0.5028</v>
      </c>
    </row>
    <row r="68">
      <c r="A68" s="6" t="inlineStr">
        <is>
          <t>xgb_hurdle</t>
        </is>
      </c>
      <c r="B68" s="7" t="inlineStr">
        <is>
          <t>5,000</t>
        </is>
      </c>
      <c r="C68" s="8" t="n">
        <v>20</v>
      </c>
      <c r="D68" s="8" t="n">
        <v>0.0032</v>
      </c>
      <c r="E68" s="8" t="n">
        <v>0.0141</v>
      </c>
      <c r="F68" s="8" t="n">
        <v>4.4721</v>
      </c>
      <c r="G68" s="8" t="n">
        <v>-0</v>
      </c>
      <c r="H68" s="8" t="n">
        <v>0.06320000000000001</v>
      </c>
    </row>
    <row r="69">
      <c r="A69" s="6" t="inlineStr">
        <is>
          <t>xgb_hurdle</t>
        </is>
      </c>
      <c r="B69" s="7" t="inlineStr">
        <is>
          <t>10,000</t>
        </is>
      </c>
      <c r="C69" s="8" t="n">
        <v>20</v>
      </c>
      <c r="D69" s="8" t="n">
        <v>0.1884</v>
      </c>
      <c r="E69" s="8" t="n">
        <v>0.1175</v>
      </c>
      <c r="F69" s="8" t="n">
        <v>0.6236</v>
      </c>
      <c r="G69" s="8" t="n">
        <v>-0.047</v>
      </c>
      <c r="H69" s="8" t="n">
        <v>0.3757</v>
      </c>
    </row>
    <row r="70">
      <c r="A70" s="6" t="inlineStr">
        <is>
          <t>xgb_hurdle</t>
        </is>
      </c>
      <c r="B70" s="7" t="inlineStr">
        <is>
          <t>20,000</t>
        </is>
      </c>
      <c r="C70" s="8" t="n">
        <v>20</v>
      </c>
      <c r="D70" s="8" t="n">
        <v>0.2365</v>
      </c>
      <c r="E70" s="8" t="n">
        <v>0.1164</v>
      </c>
      <c r="F70" s="8" t="n">
        <v>0.4923</v>
      </c>
      <c r="G70" s="8" t="n">
        <v>0.0321</v>
      </c>
      <c r="H70" s="8" t="n">
        <v>0.4203</v>
      </c>
    </row>
    <row r="71">
      <c r="A71" s="6" t="inlineStr">
        <is>
          <t>xgb_hurdle</t>
        </is>
      </c>
      <c r="B71" s="7" t="inlineStr">
        <is>
          <t>100,000</t>
        </is>
      </c>
      <c r="C71" s="8" t="n">
        <v>5</v>
      </c>
      <c r="D71" s="8" t="n">
        <v>0.447</v>
      </c>
      <c r="E71" s="8" t="n">
        <v>0.0557</v>
      </c>
      <c r="F71" s="8" t="n">
        <v>0.1247</v>
      </c>
      <c r="G71" s="8" t="n">
        <v>0.3624</v>
      </c>
      <c r="H71" s="8" t="n">
        <v>0.5073</v>
      </c>
    </row>
    <row r="72">
      <c r="A72" s="6" t="inlineStr">
        <is>
          <t>xgb_hurdle</t>
        </is>
      </c>
      <c r="B72" s="7" t="inlineStr">
        <is>
          <t>542,410</t>
        </is>
      </c>
      <c r="C72" s="8" t="n">
        <v>3</v>
      </c>
      <c r="D72" s="8" t="n">
        <v>0.5426</v>
      </c>
      <c r="E72" s="8" t="n">
        <v>0.001</v>
      </c>
      <c r="F72" s="8" t="n">
        <v>0.0019</v>
      </c>
      <c r="G72" s="8" t="n">
        <v>0.5415</v>
      </c>
      <c r="H72" s="8" t="n">
        <v>0.5435</v>
      </c>
    </row>
    <row r="73">
      <c r="A73" s="6" t="inlineStr">
        <is>
          <t>xgb_tweedie</t>
        </is>
      </c>
      <c r="B73" s="7" t="inlineStr">
        <is>
          <t>5,000</t>
        </is>
      </c>
      <c r="C73" s="8" t="n">
        <v>20</v>
      </c>
      <c r="D73" s="8" t="n">
        <v>0.2217</v>
      </c>
      <c r="E73" s="8" t="n">
        <v>0.08450000000000001</v>
      </c>
      <c r="F73" s="8" t="n">
        <v>0.3811</v>
      </c>
      <c r="G73" s="8" t="n">
        <v>0.0863</v>
      </c>
      <c r="H73" s="8" t="n">
        <v>0.3643</v>
      </c>
    </row>
    <row r="74">
      <c r="A74" s="6" t="inlineStr">
        <is>
          <t>xgb_tweedie</t>
        </is>
      </c>
      <c r="B74" s="7" t="inlineStr">
        <is>
          <t>10,000</t>
        </is>
      </c>
      <c r="C74" s="8" t="n">
        <v>20</v>
      </c>
      <c r="D74" s="8" t="n">
        <v>0.2949</v>
      </c>
      <c r="E74" s="8" t="n">
        <v>0.1031</v>
      </c>
      <c r="F74" s="8" t="n">
        <v>0.3496</v>
      </c>
      <c r="G74" s="8" t="n">
        <v>0.1315</v>
      </c>
      <c r="H74" s="8" t="n">
        <v>0.4596</v>
      </c>
    </row>
    <row r="75">
      <c r="A75" s="6" t="inlineStr">
        <is>
          <t>xgb_tweedie</t>
        </is>
      </c>
      <c r="B75" s="7" t="inlineStr">
        <is>
          <t>20,000</t>
        </is>
      </c>
      <c r="C75" s="8" t="n">
        <v>20</v>
      </c>
      <c r="D75" s="8" t="n">
        <v>0.2385</v>
      </c>
      <c r="E75" s="8" t="n">
        <v>0.07480000000000001</v>
      </c>
      <c r="F75" s="8" t="n">
        <v>0.3135</v>
      </c>
      <c r="G75" s="8" t="n">
        <v>0.1186</v>
      </c>
      <c r="H75" s="8" t="n">
        <v>0.4357</v>
      </c>
    </row>
    <row r="76">
      <c r="A76" s="6" t="inlineStr">
        <is>
          <t>xgb_tweedie</t>
        </is>
      </c>
      <c r="B76" s="7" t="inlineStr">
        <is>
          <t>100,000</t>
        </is>
      </c>
      <c r="C76" s="8" t="n">
        <v>5</v>
      </c>
      <c r="D76" s="8" t="n">
        <v>0.3519</v>
      </c>
      <c r="E76" s="8" t="n">
        <v>0.0978</v>
      </c>
      <c r="F76" s="8" t="n">
        <v>0.2779</v>
      </c>
      <c r="G76" s="8" t="n">
        <v>0.2569</v>
      </c>
      <c r="H76" s="8" t="n">
        <v>0.476</v>
      </c>
    </row>
    <row r="77">
      <c r="A77" s="6" t="inlineStr">
        <is>
          <t>xgb_tweedie</t>
        </is>
      </c>
      <c r="B77" s="7" t="inlineStr">
        <is>
          <t>542,410</t>
        </is>
      </c>
      <c r="C77" s="8" t="n">
        <v>3</v>
      </c>
      <c r="D77" s="8" t="n">
        <v>0.463</v>
      </c>
      <c r="E77" s="8" t="n">
        <v>0.0054</v>
      </c>
      <c r="F77" s="8" t="n">
        <v>0.0118</v>
      </c>
      <c r="G77" s="8" t="n">
        <v>0.4591</v>
      </c>
      <c r="H77" s="8" t="n">
        <v>0.4692</v>
      </c>
    </row>
    <row r="78">
      <c r="A78" s="6" t="inlineStr">
        <is>
          <t>glm_hurdle</t>
        </is>
      </c>
      <c r="B78" s="7" t="inlineStr">
        <is>
          <t>5,000</t>
        </is>
      </c>
      <c r="C78" s="8" t="n">
        <v>20</v>
      </c>
      <c r="D78" s="8" t="n">
        <v>0.2262</v>
      </c>
      <c r="E78" s="8" t="n">
        <v>0.1359</v>
      </c>
      <c r="F78" s="8" t="n">
        <v>0.6008</v>
      </c>
      <c r="G78" s="8" t="n">
        <v>-0.0049</v>
      </c>
      <c r="H78" s="8" t="n">
        <v>0.4334</v>
      </c>
    </row>
    <row r="79">
      <c r="A79" s="6" t="inlineStr">
        <is>
          <t>glm_hurdle</t>
        </is>
      </c>
      <c r="B79" s="7" t="inlineStr">
        <is>
          <t>10,000</t>
        </is>
      </c>
      <c r="C79" s="8" t="n">
        <v>20</v>
      </c>
      <c r="D79" s="8" t="n">
        <v>0.2453</v>
      </c>
      <c r="E79" s="8" t="n">
        <v>0.09810000000000001</v>
      </c>
      <c r="F79" s="8" t="n">
        <v>0.3999</v>
      </c>
      <c r="G79" s="8" t="n">
        <v>0.0355</v>
      </c>
      <c r="H79" s="8" t="n">
        <v>0.4257</v>
      </c>
    </row>
    <row r="80">
      <c r="A80" s="6" t="inlineStr">
        <is>
          <t>glm_hurdle</t>
        </is>
      </c>
      <c r="B80" s="7" t="inlineStr">
        <is>
          <t>20,000</t>
        </is>
      </c>
      <c r="C80" s="8" t="n">
        <v>20</v>
      </c>
      <c r="D80" s="8" t="n">
        <v>0.2362</v>
      </c>
      <c r="E80" s="8" t="n">
        <v>0.1139</v>
      </c>
      <c r="F80" s="8" t="n">
        <v>0.4821</v>
      </c>
      <c r="G80" s="8" t="n">
        <v>0.0688</v>
      </c>
      <c r="H80" s="8" t="n">
        <v>0.3985</v>
      </c>
    </row>
    <row r="81">
      <c r="A81" s="6" t="inlineStr">
        <is>
          <t>glm_hurdle</t>
        </is>
      </c>
      <c r="B81" s="7" t="inlineStr">
        <is>
          <t>100,000</t>
        </is>
      </c>
      <c r="C81" s="8" t="n">
        <v>5</v>
      </c>
      <c r="D81" s="8" t="n">
        <v>0.2581</v>
      </c>
      <c r="E81" s="8" t="n">
        <v>0.0471</v>
      </c>
      <c r="F81" s="8" t="n">
        <v>0.1824</v>
      </c>
      <c r="G81" s="8" t="n">
        <v>0.1871</v>
      </c>
      <c r="H81" s="8" t="n">
        <v>0.3023</v>
      </c>
    </row>
    <row r="82">
      <c r="A82" s="6" t="inlineStr">
        <is>
          <t>glm_hurdle</t>
        </is>
      </c>
      <c r="B82" s="7" t="inlineStr">
        <is>
          <t>542,410</t>
        </is>
      </c>
      <c r="C82" s="8" t="n">
        <v>3</v>
      </c>
      <c r="D82" s="8" t="n">
        <v>0.2928</v>
      </c>
      <c r="E82" s="8" t="n">
        <v>0</v>
      </c>
      <c r="F82" s="8" t="n">
        <v>0</v>
      </c>
      <c r="G82" s="8" t="n">
        <v>0.2928</v>
      </c>
      <c r="H82" s="8" t="n">
        <v>0.2928</v>
      </c>
    </row>
    <row r="83">
      <c r="A83" s="6" t="inlineStr">
        <is>
          <t>glm_tweedie</t>
        </is>
      </c>
      <c r="B83" s="7" t="inlineStr">
        <is>
          <t>5,000</t>
        </is>
      </c>
      <c r="C83" s="8" t="n">
        <v>20</v>
      </c>
      <c r="D83" s="8" t="n">
        <v>0.1742</v>
      </c>
      <c r="E83" s="8" t="n">
        <v>0.1137</v>
      </c>
      <c r="F83" s="8" t="n">
        <v>0.6526999999999999</v>
      </c>
      <c r="G83" s="8" t="n">
        <v>-0.0202</v>
      </c>
      <c r="H83" s="8" t="n">
        <v>0.3992</v>
      </c>
    </row>
    <row r="84">
      <c r="A84" s="6" t="inlineStr">
        <is>
          <t>glm_tweedie</t>
        </is>
      </c>
      <c r="B84" s="7" t="inlineStr">
        <is>
          <t>10,000</t>
        </is>
      </c>
      <c r="C84" s="8" t="n">
        <v>20</v>
      </c>
      <c r="D84" s="8" t="n">
        <v>0.2038</v>
      </c>
      <c r="E84" s="8" t="n">
        <v>0.1021</v>
      </c>
      <c r="F84" s="8" t="n">
        <v>0.5009</v>
      </c>
      <c r="G84" s="8" t="n">
        <v>0.0445</v>
      </c>
      <c r="H84" s="8" t="n">
        <v>0.4443</v>
      </c>
    </row>
    <row r="85">
      <c r="A85" s="6" t="inlineStr">
        <is>
          <t>glm_tweedie</t>
        </is>
      </c>
      <c r="B85" s="7" t="inlineStr">
        <is>
          <t>20,000</t>
        </is>
      </c>
      <c r="C85" s="8" t="n">
        <v>20</v>
      </c>
      <c r="D85" s="8" t="n">
        <v>0.2016</v>
      </c>
      <c r="E85" s="8" t="n">
        <v>0.1146</v>
      </c>
      <c r="F85" s="8" t="n">
        <v>0.5683</v>
      </c>
      <c r="G85" s="8" t="n">
        <v>0.0613</v>
      </c>
      <c r="H85" s="8" t="n">
        <v>0.3959</v>
      </c>
    </row>
    <row r="86">
      <c r="A86" s="6" t="inlineStr">
        <is>
          <t>glm_tweedie</t>
        </is>
      </c>
      <c r="B86" s="7" t="inlineStr">
        <is>
          <t>100,000</t>
        </is>
      </c>
      <c r="C86" s="8" t="n">
        <v>5</v>
      </c>
      <c r="D86" s="8" t="n">
        <v>0.2184</v>
      </c>
      <c r="E86" s="8" t="n">
        <v>0.114</v>
      </c>
      <c r="F86" s="8" t="n">
        <v>0.5222</v>
      </c>
      <c r="G86" s="8" t="n">
        <v>0.1065</v>
      </c>
      <c r="H86" s="8" t="n">
        <v>0.3437</v>
      </c>
    </row>
    <row r="87">
      <c r="A87" s="6" t="inlineStr">
        <is>
          <t>glm_tweedie</t>
        </is>
      </c>
      <c r="B87" s="7" t="inlineStr">
        <is>
          <t>542,410</t>
        </is>
      </c>
      <c r="C87" s="8" t="n">
        <v>3</v>
      </c>
      <c r="D87" s="8" t="n">
        <v>0.2844</v>
      </c>
      <c r="E87" s="8" t="n">
        <v>0</v>
      </c>
      <c r="F87" s="8" t="n">
        <v>0</v>
      </c>
      <c r="G87" s="8" t="n">
        <v>0.2844</v>
      </c>
      <c r="H87" s="8" t="n">
        <v>0.2844</v>
      </c>
    </row>
    <row r="88">
      <c r="A88" s="6" t="inlineStr">
        <is>
          <t>one_over_exposure</t>
        </is>
      </c>
      <c r="B88" s="7" t="inlineStr">
        <is>
          <t>5,000</t>
        </is>
      </c>
      <c r="C88" s="8" t="n">
        <v>20</v>
      </c>
      <c r="D88" s="8" t="n">
        <v>-0</v>
      </c>
      <c r="E88" s="8" t="n">
        <v>0</v>
      </c>
      <c r="F88" s="7" t="n"/>
      <c r="G88" s="8" t="n">
        <v>-0</v>
      </c>
      <c r="H88" s="8" t="n">
        <v>-0</v>
      </c>
    </row>
    <row r="89">
      <c r="A89" s="6" t="inlineStr">
        <is>
          <t>one_over_exposure</t>
        </is>
      </c>
      <c r="B89" s="7" t="inlineStr">
        <is>
          <t>10,000</t>
        </is>
      </c>
      <c r="C89" s="8" t="n">
        <v>20</v>
      </c>
      <c r="D89" s="8" t="n">
        <v>-0</v>
      </c>
      <c r="E89" s="8" t="n">
        <v>0</v>
      </c>
      <c r="F89" s="7" t="n"/>
      <c r="G89" s="8" t="n">
        <v>-0</v>
      </c>
      <c r="H89" s="8" t="n">
        <v>0</v>
      </c>
    </row>
    <row r="90">
      <c r="A90" s="6" t="inlineStr">
        <is>
          <t>one_over_exposure</t>
        </is>
      </c>
      <c r="B90" s="7" t="inlineStr">
        <is>
          <t>20,000</t>
        </is>
      </c>
      <c r="C90" s="8" t="n">
        <v>20</v>
      </c>
      <c r="D90" s="8" t="n">
        <v>-0</v>
      </c>
      <c r="E90" s="8" t="n">
        <v>0</v>
      </c>
      <c r="F90" s="7" t="n"/>
      <c r="G90" s="8" t="n">
        <v>-0</v>
      </c>
      <c r="H90" s="8" t="n">
        <v>-0</v>
      </c>
    </row>
    <row r="91">
      <c r="A91" s="6" t="inlineStr">
        <is>
          <t>one_over_exposure</t>
        </is>
      </c>
      <c r="B91" s="7" t="inlineStr">
        <is>
          <t>100,000</t>
        </is>
      </c>
      <c r="C91" s="8" t="n">
        <v>5</v>
      </c>
      <c r="D91" s="8" t="n">
        <v>-0</v>
      </c>
      <c r="E91" s="8" t="n">
        <v>0</v>
      </c>
      <c r="F91" s="7" t="n"/>
      <c r="G91" s="8" t="n">
        <v>-0</v>
      </c>
      <c r="H91" s="8" t="n">
        <v>-0</v>
      </c>
    </row>
    <row r="92">
      <c r="A92" s="6" t="inlineStr">
        <is>
          <t>one_over_exposure</t>
        </is>
      </c>
      <c r="B92" s="7" t="inlineStr">
        <is>
          <t>542,410</t>
        </is>
      </c>
      <c r="C92" s="8" t="n">
        <v>3</v>
      </c>
      <c r="D92" s="8" t="n">
        <v>-0</v>
      </c>
      <c r="E92" s="8" t="n">
        <v>0</v>
      </c>
      <c r="F92" s="7" t="n"/>
      <c r="G92" s="8" t="n">
        <v>-0</v>
      </c>
      <c r="H92" s="8" t="n">
        <v>-0</v>
      </c>
    </row>
    <row r="93">
      <c r="A93" s="6" t="inlineStr">
        <is>
          <t>intercept</t>
        </is>
      </c>
      <c r="B93" s="7" t="inlineStr">
        <is>
          <t>5,000</t>
        </is>
      </c>
      <c r="C93" s="8" t="n">
        <v>20</v>
      </c>
      <c r="D93" s="8" t="n">
        <v>-0.0114</v>
      </c>
      <c r="E93" s="8" t="n">
        <v>0</v>
      </c>
      <c r="F93" s="8" t="n">
        <v>0</v>
      </c>
      <c r="G93" s="8" t="n">
        <v>-0.0114</v>
      </c>
      <c r="H93" s="8" t="n">
        <v>-0.0114</v>
      </c>
    </row>
    <row r="94">
      <c r="A94" s="6" t="inlineStr">
        <is>
          <t>intercept</t>
        </is>
      </c>
      <c r="B94" s="7" t="inlineStr">
        <is>
          <t>10,000</t>
        </is>
      </c>
      <c r="C94" s="8" t="n">
        <v>20</v>
      </c>
      <c r="D94" s="8" t="n">
        <v>-0.0114</v>
      </c>
      <c r="E94" s="8" t="n">
        <v>0</v>
      </c>
      <c r="F94" s="8" t="n">
        <v>0</v>
      </c>
      <c r="G94" s="8" t="n">
        <v>-0.0114</v>
      </c>
      <c r="H94" s="8" t="n">
        <v>-0.0114</v>
      </c>
    </row>
    <row r="95">
      <c r="A95" s="6" t="inlineStr">
        <is>
          <t>intercept</t>
        </is>
      </c>
      <c r="B95" s="7" t="inlineStr">
        <is>
          <t>20,000</t>
        </is>
      </c>
      <c r="C95" s="8" t="n">
        <v>20</v>
      </c>
      <c r="D95" s="8" t="n">
        <v>-0.0114</v>
      </c>
      <c r="E95" s="8" t="n">
        <v>0</v>
      </c>
      <c r="F95" s="8" t="n">
        <v>0</v>
      </c>
      <c r="G95" s="8" t="n">
        <v>-0.0114</v>
      </c>
      <c r="H95" s="8" t="n">
        <v>-0.0114</v>
      </c>
    </row>
    <row r="96">
      <c r="A96" s="6" t="inlineStr">
        <is>
          <t>intercept</t>
        </is>
      </c>
      <c r="B96" s="7" t="inlineStr">
        <is>
          <t>100,000</t>
        </is>
      </c>
      <c r="C96" s="8" t="n">
        <v>5</v>
      </c>
      <c r="D96" s="8" t="n">
        <v>-0.0114</v>
      </c>
      <c r="E96" s="8" t="n">
        <v>0</v>
      </c>
      <c r="F96" s="8" t="n">
        <v>0</v>
      </c>
      <c r="G96" s="8" t="n">
        <v>-0.0114</v>
      </c>
      <c r="H96" s="8" t="n">
        <v>-0.0114</v>
      </c>
    </row>
    <row r="97">
      <c r="A97" s="6" t="inlineStr">
        <is>
          <t>intercept</t>
        </is>
      </c>
      <c r="B97" s="7" t="inlineStr">
        <is>
          <t>542,410</t>
        </is>
      </c>
      <c r="C97" s="8" t="n">
        <v>3</v>
      </c>
      <c r="D97" s="8" t="n">
        <v>-0.0114</v>
      </c>
      <c r="E97" s="8" t="n">
        <v>0</v>
      </c>
      <c r="F97" s="8" t="n">
        <v>0</v>
      </c>
      <c r="G97" s="8" t="n">
        <v>-0.0114</v>
      </c>
      <c r="H97" s="8" t="n">
        <v>-0.0114</v>
      </c>
    </row>
    <row r="100">
      <c r="A100" s="9" t="inlineStr">
        <is>
          <t>3 · Distribution and lift, per rung</t>
        </is>
      </c>
    </row>
    <row r="101">
      <c r="A101" s="2" t="inlineStr">
        <is>
          <t>Distribution charts plot every draw as a point, so the spread is visible rather than summarised.</t>
        </is>
      </c>
    </row>
    <row r="103">
      <c r="A103" s="9" t="inlineStr">
        <is>
          <t>N = 5,000</t>
        </is>
      </c>
    </row>
    <row r="104">
      <c r="A104" s="13" t="inlineStr">
        <is>
          <t>Total-loss Gini — 20 draws</t>
        </is>
      </c>
    </row>
    <row r="105">
      <c r="A105" s="4" t="inlineStr">
        <is>
          <t>Draw</t>
        </is>
      </c>
      <c r="B105" s="5" t="inlineStr">
        <is>
          <t>tabicl</t>
        </is>
      </c>
      <c r="C105" s="5" t="inlineStr">
        <is>
          <t>xgb_hurdle</t>
        </is>
      </c>
      <c r="D105" s="5" t="inlineStr">
        <is>
          <t>xgb_tweedie</t>
        </is>
      </c>
      <c r="E105" s="5" t="inlineStr">
        <is>
          <t>glm_hurdle</t>
        </is>
      </c>
      <c r="F105" s="5" t="inlineStr">
        <is>
          <t>glm_tweedie</t>
        </is>
      </c>
      <c r="I105" s="14" t="inlineStr">
        <is>
          <t>tabicl</t>
        </is>
      </c>
      <c r="J105" s="14" t="inlineStr">
        <is>
          <t>xgb_hurdle</t>
        </is>
      </c>
      <c r="K105" s="14" t="inlineStr">
        <is>
          <t>xgb_tweedie</t>
        </is>
      </c>
      <c r="L105" s="14" t="inlineStr">
        <is>
          <t>glm_hurdle</t>
        </is>
      </c>
      <c r="M105" s="14" t="inlineStr">
        <is>
          <t>glm_tweedie</t>
        </is>
      </c>
    </row>
    <row r="106">
      <c r="A106" s="6" t="n">
        <v>1</v>
      </c>
      <c r="B106" s="8" t="n">
        <v>0.398</v>
      </c>
      <c r="C106" s="8" t="n">
        <v>-0</v>
      </c>
      <c r="D106" s="8" t="n">
        <v>0.1385</v>
      </c>
      <c r="E106" s="8" t="n">
        <v>0.0769</v>
      </c>
      <c r="F106" s="8" t="n">
        <v>0.1522</v>
      </c>
      <c r="I106" t="n">
        <v>1</v>
      </c>
      <c r="J106" t="n">
        <v>2</v>
      </c>
      <c r="K106" t="n">
        <v>3</v>
      </c>
      <c r="L106" t="n">
        <v>4</v>
      </c>
      <c r="M106" t="n">
        <v>5</v>
      </c>
    </row>
    <row r="107">
      <c r="A107" s="6" t="n">
        <v>2</v>
      </c>
      <c r="B107" s="8" t="n">
        <v>0.2839</v>
      </c>
      <c r="C107" s="8" t="n">
        <v>-0</v>
      </c>
      <c r="D107" s="8" t="n">
        <v>0.277</v>
      </c>
      <c r="E107" s="8" t="n">
        <v>0.4048</v>
      </c>
      <c r="F107" s="8" t="n">
        <v>-0.0202</v>
      </c>
      <c r="I107" t="n">
        <v>1</v>
      </c>
      <c r="J107" t="n">
        <v>2</v>
      </c>
      <c r="K107" t="n">
        <v>3</v>
      </c>
      <c r="L107" t="n">
        <v>4</v>
      </c>
      <c r="M107" t="n">
        <v>5</v>
      </c>
    </row>
    <row r="108">
      <c r="A108" s="6" t="n">
        <v>3</v>
      </c>
      <c r="B108" s="8" t="n">
        <v>0.2188</v>
      </c>
      <c r="C108" s="8" t="n">
        <v>-0</v>
      </c>
      <c r="D108" s="8" t="n">
        <v>0.3047</v>
      </c>
      <c r="E108" s="8" t="n">
        <v>0.1581</v>
      </c>
      <c r="F108" s="8" t="n">
        <v>0.3466</v>
      </c>
      <c r="I108" t="n">
        <v>1</v>
      </c>
      <c r="J108" t="n">
        <v>2</v>
      </c>
      <c r="K108" t="n">
        <v>3</v>
      </c>
      <c r="L108" t="n">
        <v>4</v>
      </c>
      <c r="M108" t="n">
        <v>5</v>
      </c>
    </row>
    <row r="109">
      <c r="A109" s="6" t="n">
        <v>4</v>
      </c>
      <c r="B109" s="8" t="n">
        <v>0.459</v>
      </c>
      <c r="C109" s="8" t="n">
        <v>-0</v>
      </c>
      <c r="D109" s="8" t="n">
        <v>0.2636</v>
      </c>
      <c r="E109" s="8" t="n">
        <v>0.2529</v>
      </c>
      <c r="F109" s="8" t="n">
        <v>0.1095</v>
      </c>
      <c r="I109" t="n">
        <v>1</v>
      </c>
      <c r="J109" t="n">
        <v>2</v>
      </c>
      <c r="K109" t="n">
        <v>3</v>
      </c>
      <c r="L109" t="n">
        <v>4</v>
      </c>
      <c r="M109" t="n">
        <v>5</v>
      </c>
    </row>
    <row r="110">
      <c r="A110" s="6" t="n">
        <v>5</v>
      </c>
      <c r="B110" s="8" t="n">
        <v>0.3285</v>
      </c>
      <c r="C110" s="8" t="n">
        <v>-0</v>
      </c>
      <c r="D110" s="8" t="n">
        <v>0.3361</v>
      </c>
      <c r="E110" s="8" t="n">
        <v>0.3797</v>
      </c>
      <c r="F110" s="8" t="n">
        <v>0.1925</v>
      </c>
      <c r="I110" t="n">
        <v>1</v>
      </c>
      <c r="J110" t="n">
        <v>2</v>
      </c>
      <c r="K110" t="n">
        <v>3</v>
      </c>
      <c r="L110" t="n">
        <v>4</v>
      </c>
      <c r="M110" t="n">
        <v>5</v>
      </c>
    </row>
    <row r="111">
      <c r="A111" s="6" t="n">
        <v>6</v>
      </c>
      <c r="B111" s="8" t="n">
        <v>0.4971</v>
      </c>
      <c r="C111" s="8" t="n">
        <v>-0</v>
      </c>
      <c r="D111" s="8" t="n">
        <v>0.0863</v>
      </c>
      <c r="E111" s="8" t="n">
        <v>0.4334</v>
      </c>
      <c r="F111" s="8" t="n">
        <v>0.0992</v>
      </c>
      <c r="I111" t="n">
        <v>1</v>
      </c>
      <c r="J111" t="n">
        <v>2</v>
      </c>
      <c r="K111" t="n">
        <v>3</v>
      </c>
      <c r="L111" t="n">
        <v>4</v>
      </c>
      <c r="M111" t="n">
        <v>5</v>
      </c>
    </row>
    <row r="112">
      <c r="A112" s="6" t="n">
        <v>7</v>
      </c>
      <c r="B112" s="8" t="n">
        <v>0.3329</v>
      </c>
      <c r="C112" s="8" t="n">
        <v>-0</v>
      </c>
      <c r="D112" s="8" t="n">
        <v>0.1342</v>
      </c>
      <c r="E112" s="8" t="n">
        <v>0.1117</v>
      </c>
      <c r="F112" s="8" t="n">
        <v>0.2262</v>
      </c>
      <c r="I112" t="n">
        <v>1</v>
      </c>
      <c r="J112" t="n">
        <v>2</v>
      </c>
      <c r="K112" t="n">
        <v>3</v>
      </c>
      <c r="L112" t="n">
        <v>4</v>
      </c>
      <c r="M112" t="n">
        <v>5</v>
      </c>
    </row>
    <row r="113">
      <c r="A113" s="6" t="n">
        <v>8</v>
      </c>
      <c r="B113" s="8" t="n">
        <v>0.2637</v>
      </c>
      <c r="C113" s="8" t="n">
        <v>-0</v>
      </c>
      <c r="D113" s="8" t="n">
        <v>0.1312</v>
      </c>
      <c r="E113" s="8" t="n">
        <v>0.3481</v>
      </c>
      <c r="F113" s="8" t="n">
        <v>0.1581</v>
      </c>
      <c r="I113" t="n">
        <v>1</v>
      </c>
      <c r="J113" t="n">
        <v>2</v>
      </c>
      <c r="K113" t="n">
        <v>3</v>
      </c>
      <c r="L113" t="n">
        <v>4</v>
      </c>
      <c r="M113" t="n">
        <v>5</v>
      </c>
    </row>
    <row r="114">
      <c r="A114" s="6" t="n">
        <v>9</v>
      </c>
      <c r="B114" s="8" t="n">
        <v>0.1205</v>
      </c>
      <c r="C114" s="8" t="n">
        <v>-0</v>
      </c>
      <c r="D114" s="8" t="n">
        <v>0.1533</v>
      </c>
      <c r="E114" s="8" t="n">
        <v>0.3213</v>
      </c>
      <c r="F114" s="8" t="n">
        <v>0.294</v>
      </c>
      <c r="I114" t="n">
        <v>1</v>
      </c>
      <c r="J114" t="n">
        <v>2</v>
      </c>
      <c r="K114" t="n">
        <v>3</v>
      </c>
      <c r="L114" t="n">
        <v>4</v>
      </c>
      <c r="M114" t="n">
        <v>5</v>
      </c>
    </row>
    <row r="115">
      <c r="A115" s="6" t="n">
        <v>10</v>
      </c>
      <c r="B115" s="8" t="n">
        <v>0.2626</v>
      </c>
      <c r="C115" s="8" t="n">
        <v>-0</v>
      </c>
      <c r="D115" s="8" t="n">
        <v>0.3631</v>
      </c>
      <c r="E115" s="8" t="n">
        <v>-0.0049</v>
      </c>
      <c r="F115" s="8" t="n">
        <v>-0.0123</v>
      </c>
      <c r="I115" t="n">
        <v>1</v>
      </c>
      <c r="J115" t="n">
        <v>2</v>
      </c>
      <c r="K115" t="n">
        <v>3</v>
      </c>
      <c r="L115" t="n">
        <v>4</v>
      </c>
      <c r="M115" t="n">
        <v>5</v>
      </c>
    </row>
    <row r="116">
      <c r="A116" s="6" t="n">
        <v>11</v>
      </c>
      <c r="B116" s="8" t="n">
        <v>0.4875</v>
      </c>
      <c r="C116" s="8" t="n">
        <v>-0</v>
      </c>
      <c r="D116" s="8" t="n">
        <v>0.1545</v>
      </c>
      <c r="E116" s="8" t="n">
        <v>0.0827</v>
      </c>
      <c r="F116" s="8" t="n">
        <v>0.1715</v>
      </c>
      <c r="I116" t="n">
        <v>1</v>
      </c>
      <c r="J116" t="n">
        <v>2</v>
      </c>
      <c r="K116" t="n">
        <v>3</v>
      </c>
      <c r="L116" t="n">
        <v>4</v>
      </c>
      <c r="M116" t="n">
        <v>5</v>
      </c>
    </row>
    <row r="117">
      <c r="A117" s="6" t="n">
        <v>12</v>
      </c>
      <c r="B117" s="8" t="n">
        <v>0.2404</v>
      </c>
      <c r="C117" s="8" t="n">
        <v>-0</v>
      </c>
      <c r="D117" s="8" t="n">
        <v>0.1982</v>
      </c>
      <c r="E117" s="8" t="n">
        <v>0.0365</v>
      </c>
      <c r="F117" s="8" t="n">
        <v>0.2754</v>
      </c>
      <c r="I117" t="n">
        <v>1</v>
      </c>
      <c r="J117" t="n">
        <v>2</v>
      </c>
      <c r="K117" t="n">
        <v>3</v>
      </c>
      <c r="L117" t="n">
        <v>4</v>
      </c>
      <c r="M117" t="n">
        <v>5</v>
      </c>
    </row>
    <row r="118">
      <c r="A118" s="6" t="n">
        <v>13</v>
      </c>
      <c r="B118" s="8" t="n">
        <v>0.0775</v>
      </c>
      <c r="C118" s="8" t="n">
        <v>-0</v>
      </c>
      <c r="D118" s="8" t="n">
        <v>0.1846</v>
      </c>
      <c r="E118" s="8" t="n">
        <v>0.4126</v>
      </c>
      <c r="F118" s="8" t="n">
        <v>0.2617</v>
      </c>
      <c r="I118" t="n">
        <v>1</v>
      </c>
      <c r="J118" t="n">
        <v>2</v>
      </c>
      <c r="K118" t="n">
        <v>3</v>
      </c>
      <c r="L118" t="n">
        <v>4</v>
      </c>
      <c r="M118" t="n">
        <v>5</v>
      </c>
    </row>
    <row r="119">
      <c r="A119" s="6" t="n">
        <v>14</v>
      </c>
      <c r="B119" s="8" t="n">
        <v>0.3265</v>
      </c>
      <c r="C119" s="8" t="n">
        <v>-0</v>
      </c>
      <c r="D119" s="8" t="n">
        <v>0.1621</v>
      </c>
      <c r="E119" s="8" t="n">
        <v>0.1086</v>
      </c>
      <c r="F119" s="8" t="n">
        <v>0.1548</v>
      </c>
      <c r="I119" t="n">
        <v>1</v>
      </c>
      <c r="J119" t="n">
        <v>2</v>
      </c>
      <c r="K119" t="n">
        <v>3</v>
      </c>
      <c r="L119" t="n">
        <v>4</v>
      </c>
      <c r="M119" t="n">
        <v>5</v>
      </c>
    </row>
    <row r="120">
      <c r="A120" s="6" t="n">
        <v>15</v>
      </c>
      <c r="B120" s="8" t="n">
        <v>0.3821</v>
      </c>
      <c r="C120" s="8" t="n">
        <v>-0</v>
      </c>
      <c r="D120" s="8" t="n">
        <v>0.2005</v>
      </c>
      <c r="E120" s="8" t="n">
        <v>0.1373</v>
      </c>
      <c r="F120" s="8" t="n">
        <v>0.0658</v>
      </c>
      <c r="I120" t="n">
        <v>1</v>
      </c>
      <c r="J120" t="n">
        <v>2</v>
      </c>
      <c r="K120" t="n">
        <v>3</v>
      </c>
      <c r="L120" t="n">
        <v>4</v>
      </c>
      <c r="M120" t="n">
        <v>5</v>
      </c>
    </row>
    <row r="121">
      <c r="A121" s="6" t="n">
        <v>16</v>
      </c>
      <c r="B121" s="8" t="n">
        <v>0.4108</v>
      </c>
      <c r="C121" s="8" t="n">
        <v>-0</v>
      </c>
      <c r="D121" s="8" t="n">
        <v>0.3237</v>
      </c>
      <c r="E121" s="8" t="n">
        <v>0.3392</v>
      </c>
      <c r="F121" s="8" t="n">
        <v>0.0658</v>
      </c>
      <c r="I121" t="n">
        <v>1</v>
      </c>
      <c r="J121" t="n">
        <v>2</v>
      </c>
      <c r="K121" t="n">
        <v>3</v>
      </c>
      <c r="L121" t="n">
        <v>4</v>
      </c>
      <c r="M121" t="n">
        <v>5</v>
      </c>
    </row>
    <row r="122">
      <c r="A122" s="6" t="n">
        <v>17</v>
      </c>
      <c r="B122" s="8" t="n">
        <v>0.4837</v>
      </c>
      <c r="C122" s="8" t="n">
        <v>-0</v>
      </c>
      <c r="D122" s="8" t="n">
        <v>0.2675</v>
      </c>
      <c r="E122" s="8" t="n">
        <v>0.2603</v>
      </c>
      <c r="F122" s="8" t="n">
        <v>0.3992</v>
      </c>
      <c r="I122" t="n">
        <v>1</v>
      </c>
      <c r="J122" t="n">
        <v>2</v>
      </c>
      <c r="K122" t="n">
        <v>3</v>
      </c>
      <c r="L122" t="n">
        <v>4</v>
      </c>
      <c r="M122" t="n">
        <v>5</v>
      </c>
    </row>
    <row r="123">
      <c r="A123" s="6" t="n">
        <v>18</v>
      </c>
      <c r="B123" s="8" t="n">
        <v>0.3081</v>
      </c>
      <c r="C123" s="8" t="n">
        <v>-0</v>
      </c>
      <c r="D123" s="8" t="n">
        <v>0.2111</v>
      </c>
      <c r="E123" s="8" t="n">
        <v>0.1713</v>
      </c>
      <c r="F123" s="8" t="n">
        <v>0.0793</v>
      </c>
      <c r="I123" t="n">
        <v>1</v>
      </c>
      <c r="J123" t="n">
        <v>2</v>
      </c>
      <c r="K123" t="n">
        <v>3</v>
      </c>
      <c r="L123" t="n">
        <v>4</v>
      </c>
      <c r="M123" t="n">
        <v>5</v>
      </c>
    </row>
    <row r="124">
      <c r="A124" s="6" t="n">
        <v>19</v>
      </c>
      <c r="B124" s="8" t="n">
        <v>0.3574</v>
      </c>
      <c r="C124" s="8" t="n">
        <v>-0</v>
      </c>
      <c r="D124" s="8" t="n">
        <v>0.18</v>
      </c>
      <c r="E124" s="8" t="n">
        <v>0.2043</v>
      </c>
      <c r="F124" s="8" t="n">
        <v>0.2923</v>
      </c>
      <c r="I124" t="n">
        <v>1</v>
      </c>
      <c r="J124" t="n">
        <v>2</v>
      </c>
      <c r="K124" t="n">
        <v>3</v>
      </c>
      <c r="L124" t="n">
        <v>4</v>
      </c>
      <c r="M124" t="n">
        <v>5</v>
      </c>
    </row>
    <row r="125">
      <c r="A125" s="6" t="n">
        <v>20</v>
      </c>
      <c r="B125" s="8" t="n">
        <v>0.39</v>
      </c>
      <c r="C125" s="8" t="n">
        <v>0.06320000000000001</v>
      </c>
      <c r="D125" s="8" t="n">
        <v>0.3643</v>
      </c>
      <c r="E125" s="8" t="n">
        <v>0.289</v>
      </c>
      <c r="F125" s="8" t="n">
        <v>0.1717</v>
      </c>
      <c r="I125" t="n">
        <v>1</v>
      </c>
      <c r="J125" t="n">
        <v>2</v>
      </c>
      <c r="K125" t="n">
        <v>3</v>
      </c>
      <c r="L125" t="n">
        <v>4</v>
      </c>
      <c r="M125" t="n">
        <v>5</v>
      </c>
    </row>
    <row r="127">
      <c r="A127" s="13" t="inlineStr">
        <is>
          <t>Lift — 10 equal-exposure buckets</t>
        </is>
      </c>
    </row>
    <row r="128">
      <c r="A128" s="4" t="inlineStr">
        <is>
          <t>Bucket</t>
        </is>
      </c>
      <c r="B128" s="5" t="inlineStr">
        <is>
          <t>Exposure</t>
        </is>
      </c>
      <c r="C128" s="5" t="inlineStr">
        <is>
          <t>Actual</t>
        </is>
      </c>
      <c r="D128" s="5" t="inlineStr">
        <is>
          <t>tabicl pred</t>
        </is>
      </c>
      <c r="E128" s="5" t="inlineStr">
        <is>
          <t>xgb_hurdle pred</t>
        </is>
      </c>
    </row>
    <row r="129">
      <c r="A129" s="6" t="n">
        <v>1</v>
      </c>
      <c r="B129" s="15" t="n">
        <v>7145.8</v>
      </c>
      <c r="C129" s="15" t="n">
        <v>34.48</v>
      </c>
      <c r="D129" s="15" t="n">
        <v>35.62</v>
      </c>
      <c r="E129" s="15" t="n">
        <v>63.9</v>
      </c>
    </row>
    <row r="130">
      <c r="A130" s="6" t="n">
        <v>2</v>
      </c>
      <c r="B130" s="15" t="n">
        <v>7146.9</v>
      </c>
      <c r="C130" s="15" t="n">
        <v>43.65</v>
      </c>
      <c r="D130" s="15" t="n">
        <v>44.12</v>
      </c>
      <c r="E130" s="15" t="n">
        <v>63.9</v>
      </c>
    </row>
    <row r="131">
      <c r="A131" s="6" t="n">
        <v>3</v>
      </c>
      <c r="B131" s="15" t="n">
        <v>7146.5</v>
      </c>
      <c r="C131" s="15" t="n">
        <v>52.87</v>
      </c>
      <c r="D131" s="15" t="n">
        <v>50.79</v>
      </c>
      <c r="E131" s="15" t="n">
        <v>63.91</v>
      </c>
    </row>
    <row r="132">
      <c r="A132" s="6" t="n">
        <v>4</v>
      </c>
      <c r="B132" s="15" t="n">
        <v>7146.9</v>
      </c>
      <c r="C132" s="15" t="n">
        <v>85.84</v>
      </c>
      <c r="D132" s="15" t="n">
        <v>57.63</v>
      </c>
      <c r="E132" s="15" t="n">
        <v>63.95</v>
      </c>
    </row>
    <row r="133">
      <c r="A133" s="6" t="n">
        <v>5</v>
      </c>
      <c r="B133" s="15" t="n">
        <v>7146.2</v>
      </c>
      <c r="C133" s="15" t="n">
        <v>150.14</v>
      </c>
      <c r="D133" s="15" t="n">
        <v>65.40000000000001</v>
      </c>
      <c r="E133" s="15" t="n">
        <v>64.51000000000001</v>
      </c>
    </row>
    <row r="134">
      <c r="A134" s="6" t="n">
        <v>6</v>
      </c>
      <c r="B134" s="15" t="n">
        <v>7146</v>
      </c>
      <c r="C134" s="15" t="n">
        <v>118.61</v>
      </c>
      <c r="D134" s="15" t="n">
        <v>74.78</v>
      </c>
      <c r="E134" s="15" t="n">
        <v>73.43000000000001</v>
      </c>
    </row>
    <row r="135">
      <c r="A135" s="6" t="n">
        <v>7</v>
      </c>
      <c r="B135" s="15" t="n">
        <v>7147</v>
      </c>
      <c r="C135" s="15" t="n">
        <v>124.59</v>
      </c>
      <c r="D135" s="15" t="n">
        <v>87.98</v>
      </c>
      <c r="E135" s="15" t="n">
        <v>87.98999999999999</v>
      </c>
    </row>
    <row r="136">
      <c r="A136" s="6" t="n">
        <v>8</v>
      </c>
      <c r="B136" s="15" t="n">
        <v>7146.9</v>
      </c>
      <c r="C136" s="15" t="n">
        <v>195.81</v>
      </c>
      <c r="D136" s="15" t="n">
        <v>107.23</v>
      </c>
      <c r="E136" s="15" t="n">
        <v>113.37</v>
      </c>
    </row>
    <row r="137">
      <c r="A137" s="6" t="n">
        <v>9</v>
      </c>
      <c r="B137" s="15" t="n">
        <v>7146.6</v>
      </c>
      <c r="C137" s="15" t="n">
        <v>210.79</v>
      </c>
      <c r="D137" s="15" t="n">
        <v>139.15</v>
      </c>
      <c r="E137" s="15" t="n">
        <v>150.88</v>
      </c>
    </row>
    <row r="138">
      <c r="A138" s="6" t="n">
        <v>10</v>
      </c>
      <c r="B138" s="15" t="n">
        <v>7146.6</v>
      </c>
      <c r="C138" s="15" t="n">
        <v>1142.84</v>
      </c>
      <c r="D138" s="15" t="n">
        <v>255.31</v>
      </c>
      <c r="E138" s="15" t="n">
        <v>467.25</v>
      </c>
    </row>
    <row r="148">
      <c r="A148" s="9" t="inlineStr">
        <is>
          <t>N = 10,000</t>
        </is>
      </c>
    </row>
    <row r="149">
      <c r="A149" s="13" t="inlineStr">
        <is>
          <t>Total-loss Gini — 20 draws</t>
        </is>
      </c>
    </row>
    <row r="150">
      <c r="A150" s="4" t="inlineStr">
        <is>
          <t>Draw</t>
        </is>
      </c>
      <c r="B150" s="5" t="inlineStr">
        <is>
          <t>tabicl</t>
        </is>
      </c>
      <c r="C150" s="5" t="inlineStr">
        <is>
          <t>xgb_hurdle</t>
        </is>
      </c>
      <c r="D150" s="5" t="inlineStr">
        <is>
          <t>xgb_tweedie</t>
        </is>
      </c>
      <c r="E150" s="5" t="inlineStr">
        <is>
          <t>glm_hurdle</t>
        </is>
      </c>
      <c r="F150" s="5" t="inlineStr">
        <is>
          <t>glm_tweedie</t>
        </is>
      </c>
      <c r="I150" s="14" t="inlineStr">
        <is>
          <t>tabicl</t>
        </is>
      </c>
      <c r="J150" s="14" t="inlineStr">
        <is>
          <t>xgb_hurdle</t>
        </is>
      </c>
      <c r="K150" s="14" t="inlineStr">
        <is>
          <t>xgb_tweedie</t>
        </is>
      </c>
      <c r="L150" s="14" t="inlineStr">
        <is>
          <t>glm_hurdle</t>
        </is>
      </c>
      <c r="M150" s="14" t="inlineStr">
        <is>
          <t>glm_tweedie</t>
        </is>
      </c>
    </row>
    <row r="151">
      <c r="A151" s="6" t="n">
        <v>1</v>
      </c>
      <c r="B151" s="8" t="n">
        <v>0.1643</v>
      </c>
      <c r="C151" s="8" t="n">
        <v>0.1822</v>
      </c>
      <c r="D151" s="8" t="n">
        <v>0.4596</v>
      </c>
      <c r="E151" s="8" t="n">
        <v>0.365</v>
      </c>
      <c r="F151" s="8" t="n">
        <v>0.3045</v>
      </c>
      <c r="I151" t="n">
        <v>1</v>
      </c>
      <c r="J151" t="n">
        <v>2</v>
      </c>
      <c r="K151" t="n">
        <v>3</v>
      </c>
      <c r="L151" t="n">
        <v>4</v>
      </c>
      <c r="M151" t="n">
        <v>5</v>
      </c>
    </row>
    <row r="152">
      <c r="A152" s="6" t="n">
        <v>2</v>
      </c>
      <c r="B152" s="8" t="n">
        <v>0.2774</v>
      </c>
      <c r="C152" s="8" t="n">
        <v>-0.047</v>
      </c>
      <c r="D152" s="8" t="n">
        <v>0.323</v>
      </c>
      <c r="E152" s="8" t="n">
        <v>0.346</v>
      </c>
      <c r="F152" s="8" t="n">
        <v>0.1106</v>
      </c>
      <c r="I152" t="n">
        <v>1</v>
      </c>
      <c r="J152" t="n">
        <v>2</v>
      </c>
      <c r="K152" t="n">
        <v>3</v>
      </c>
      <c r="L152" t="n">
        <v>4</v>
      </c>
      <c r="M152" t="n">
        <v>5</v>
      </c>
    </row>
    <row r="153">
      <c r="A153" s="6" t="n">
        <v>3</v>
      </c>
      <c r="B153" s="8" t="n">
        <v>0.4686</v>
      </c>
      <c r="C153" s="8" t="n">
        <v>0.1497</v>
      </c>
      <c r="D153" s="8" t="n">
        <v>0.4169</v>
      </c>
      <c r="E153" s="8" t="n">
        <v>0.2516</v>
      </c>
      <c r="F153" s="8" t="n">
        <v>0.2799</v>
      </c>
      <c r="I153" t="n">
        <v>1</v>
      </c>
      <c r="J153" t="n">
        <v>2</v>
      </c>
      <c r="K153" t="n">
        <v>3</v>
      </c>
      <c r="L153" t="n">
        <v>4</v>
      </c>
      <c r="M153" t="n">
        <v>5</v>
      </c>
    </row>
    <row r="154">
      <c r="A154" s="6" t="n">
        <v>4</v>
      </c>
      <c r="B154" s="8" t="n">
        <v>0.2901</v>
      </c>
      <c r="C154" s="8" t="n">
        <v>0.302</v>
      </c>
      <c r="D154" s="8" t="n">
        <v>0.1889</v>
      </c>
      <c r="E154" s="8" t="n">
        <v>0.3414</v>
      </c>
      <c r="F154" s="8" t="n">
        <v>0.1072</v>
      </c>
      <c r="I154" t="n">
        <v>1</v>
      </c>
      <c r="J154" t="n">
        <v>2</v>
      </c>
      <c r="K154" t="n">
        <v>3</v>
      </c>
      <c r="L154" t="n">
        <v>4</v>
      </c>
      <c r="M154" t="n">
        <v>5</v>
      </c>
    </row>
    <row r="155">
      <c r="A155" s="6" t="n">
        <v>5</v>
      </c>
      <c r="B155" s="8" t="n">
        <v>0.2736</v>
      </c>
      <c r="C155" s="8" t="n">
        <v>0.0315</v>
      </c>
      <c r="D155" s="8" t="n">
        <v>0.2556</v>
      </c>
      <c r="E155" s="8" t="n">
        <v>0.2935</v>
      </c>
      <c r="F155" s="8" t="n">
        <v>0.2995</v>
      </c>
      <c r="I155" t="n">
        <v>1</v>
      </c>
      <c r="J155" t="n">
        <v>2</v>
      </c>
      <c r="K155" t="n">
        <v>3</v>
      </c>
      <c r="L155" t="n">
        <v>4</v>
      </c>
      <c r="M155" t="n">
        <v>5</v>
      </c>
    </row>
    <row r="156">
      <c r="A156" s="6" t="n">
        <v>6</v>
      </c>
      <c r="B156" s="8" t="n">
        <v>0.3794</v>
      </c>
      <c r="C156" s="8" t="n">
        <v>0.1745</v>
      </c>
      <c r="D156" s="8" t="n">
        <v>0.2936</v>
      </c>
      <c r="E156" s="8" t="n">
        <v>0.1321</v>
      </c>
      <c r="F156" s="8" t="n">
        <v>0.3189</v>
      </c>
      <c r="I156" t="n">
        <v>1</v>
      </c>
      <c r="J156" t="n">
        <v>2</v>
      </c>
      <c r="K156" t="n">
        <v>3</v>
      </c>
      <c r="L156" t="n">
        <v>4</v>
      </c>
      <c r="M156" t="n">
        <v>5</v>
      </c>
    </row>
    <row r="157">
      <c r="A157" s="6" t="n">
        <v>7</v>
      </c>
      <c r="B157" s="8" t="n">
        <v>0.1943</v>
      </c>
      <c r="C157" s="8" t="n">
        <v>0.1471</v>
      </c>
      <c r="D157" s="8" t="n">
        <v>0.1329</v>
      </c>
      <c r="E157" s="8" t="n">
        <v>0.4257</v>
      </c>
      <c r="F157" s="8" t="n">
        <v>0.4443</v>
      </c>
      <c r="I157" t="n">
        <v>1</v>
      </c>
      <c r="J157" t="n">
        <v>2</v>
      </c>
      <c r="K157" t="n">
        <v>3</v>
      </c>
      <c r="L157" t="n">
        <v>4</v>
      </c>
      <c r="M157" t="n">
        <v>5</v>
      </c>
    </row>
    <row r="158">
      <c r="A158" s="6" t="n">
        <v>8</v>
      </c>
      <c r="B158" s="8" t="n">
        <v>0.3206</v>
      </c>
      <c r="C158" s="8" t="n">
        <v>0.2906</v>
      </c>
      <c r="D158" s="8" t="n">
        <v>0.2477</v>
      </c>
      <c r="E158" s="8" t="n">
        <v>0.2559</v>
      </c>
      <c r="F158" s="8" t="n">
        <v>0.1303</v>
      </c>
      <c r="I158" t="n">
        <v>1</v>
      </c>
      <c r="J158" t="n">
        <v>2</v>
      </c>
      <c r="K158" t="n">
        <v>3</v>
      </c>
      <c r="L158" t="n">
        <v>4</v>
      </c>
      <c r="M158" t="n">
        <v>5</v>
      </c>
    </row>
    <row r="159">
      <c r="A159" s="6" t="n">
        <v>9</v>
      </c>
      <c r="B159" s="8" t="n">
        <v>0.1849</v>
      </c>
      <c r="C159" s="8" t="n">
        <v>0.3566</v>
      </c>
      <c r="D159" s="8" t="n">
        <v>0.1869</v>
      </c>
      <c r="E159" s="8" t="n">
        <v>0.2173</v>
      </c>
      <c r="F159" s="8" t="n">
        <v>0.136</v>
      </c>
      <c r="I159" t="n">
        <v>1</v>
      </c>
      <c r="J159" t="n">
        <v>2</v>
      </c>
      <c r="K159" t="n">
        <v>3</v>
      </c>
      <c r="L159" t="n">
        <v>4</v>
      </c>
      <c r="M159" t="n">
        <v>5</v>
      </c>
    </row>
    <row r="160">
      <c r="A160" s="6" t="n">
        <v>10</v>
      </c>
      <c r="B160" s="8" t="n">
        <v>0.4638</v>
      </c>
      <c r="C160" s="8" t="n">
        <v>0.2498</v>
      </c>
      <c r="D160" s="8" t="n">
        <v>0.1987</v>
      </c>
      <c r="E160" s="8" t="n">
        <v>0.1439</v>
      </c>
      <c r="F160" s="8" t="n">
        <v>0.3206</v>
      </c>
      <c r="I160" t="n">
        <v>1</v>
      </c>
      <c r="J160" t="n">
        <v>2</v>
      </c>
      <c r="K160" t="n">
        <v>3</v>
      </c>
      <c r="L160" t="n">
        <v>4</v>
      </c>
      <c r="M160" t="n">
        <v>5</v>
      </c>
    </row>
    <row r="161">
      <c r="A161" s="6" t="n">
        <v>11</v>
      </c>
      <c r="B161" s="8" t="n">
        <v>0.3551</v>
      </c>
      <c r="C161" s="8" t="n">
        <v>0.2806</v>
      </c>
      <c r="D161" s="8" t="n">
        <v>0.4387</v>
      </c>
      <c r="E161" s="8" t="n">
        <v>0.0355</v>
      </c>
      <c r="F161" s="8" t="n">
        <v>0.2087</v>
      </c>
      <c r="I161" t="n">
        <v>1</v>
      </c>
      <c r="J161" t="n">
        <v>2</v>
      </c>
      <c r="K161" t="n">
        <v>3</v>
      </c>
      <c r="L161" t="n">
        <v>4</v>
      </c>
      <c r="M161" t="n">
        <v>5</v>
      </c>
    </row>
    <row r="162">
      <c r="A162" s="6" t="n">
        <v>12</v>
      </c>
      <c r="B162" s="8" t="n">
        <v>0.456</v>
      </c>
      <c r="C162" s="8" t="n">
        <v>0.1519</v>
      </c>
      <c r="D162" s="8" t="n">
        <v>0.2363</v>
      </c>
      <c r="E162" s="8" t="n">
        <v>0.2301</v>
      </c>
      <c r="F162" s="8" t="n">
        <v>0.08500000000000001</v>
      </c>
      <c r="I162" t="n">
        <v>1</v>
      </c>
      <c r="J162" t="n">
        <v>2</v>
      </c>
      <c r="K162" t="n">
        <v>3</v>
      </c>
      <c r="L162" t="n">
        <v>4</v>
      </c>
      <c r="M162" t="n">
        <v>5</v>
      </c>
    </row>
    <row r="163">
      <c r="A163" s="6" t="n">
        <v>13</v>
      </c>
      <c r="B163" s="8" t="n">
        <v>0.231</v>
      </c>
      <c r="C163" s="8" t="n">
        <v>0.0646</v>
      </c>
      <c r="D163" s="8" t="n">
        <v>0.4274</v>
      </c>
      <c r="E163" s="8" t="n">
        <v>0.3769</v>
      </c>
      <c r="F163" s="8" t="n">
        <v>0.1438</v>
      </c>
      <c r="I163" t="n">
        <v>1</v>
      </c>
      <c r="J163" t="n">
        <v>2</v>
      </c>
      <c r="K163" t="n">
        <v>3</v>
      </c>
      <c r="L163" t="n">
        <v>4</v>
      </c>
      <c r="M163" t="n">
        <v>5</v>
      </c>
    </row>
    <row r="164">
      <c r="A164" s="6" t="n">
        <v>14</v>
      </c>
      <c r="B164" s="8" t="n">
        <v>0.1731</v>
      </c>
      <c r="C164" s="8" t="n">
        <v>0.3757</v>
      </c>
      <c r="D164" s="8" t="n">
        <v>0.3645</v>
      </c>
      <c r="E164" s="8" t="n">
        <v>0.3089</v>
      </c>
      <c r="F164" s="8" t="n">
        <v>0.2408</v>
      </c>
      <c r="I164" t="n">
        <v>1</v>
      </c>
      <c r="J164" t="n">
        <v>2</v>
      </c>
      <c r="K164" t="n">
        <v>3</v>
      </c>
      <c r="L164" t="n">
        <v>4</v>
      </c>
      <c r="M164" t="n">
        <v>5</v>
      </c>
    </row>
    <row r="165">
      <c r="A165" s="6" t="n">
        <v>15</v>
      </c>
      <c r="B165" s="8" t="n">
        <v>0.4929</v>
      </c>
      <c r="C165" s="8" t="n">
        <v>0.1575</v>
      </c>
      <c r="D165" s="8" t="n">
        <v>0.4189</v>
      </c>
      <c r="E165" s="8" t="n">
        <v>0.1477</v>
      </c>
      <c r="F165" s="8" t="n">
        <v>0.1457</v>
      </c>
      <c r="I165" t="n">
        <v>1</v>
      </c>
      <c r="J165" t="n">
        <v>2</v>
      </c>
      <c r="K165" t="n">
        <v>3</v>
      </c>
      <c r="L165" t="n">
        <v>4</v>
      </c>
      <c r="M165" t="n">
        <v>5</v>
      </c>
    </row>
    <row r="166">
      <c r="A166" s="6" t="n">
        <v>16</v>
      </c>
      <c r="B166" s="8" t="n">
        <v>0.4627</v>
      </c>
      <c r="C166" s="8" t="n">
        <v>0.1948</v>
      </c>
      <c r="D166" s="8" t="n">
        <v>0.2711</v>
      </c>
      <c r="E166" s="8" t="n">
        <v>0.2479</v>
      </c>
      <c r="F166" s="8" t="n">
        <v>0.1245</v>
      </c>
      <c r="I166" t="n">
        <v>1</v>
      </c>
      <c r="J166" t="n">
        <v>2</v>
      </c>
      <c r="K166" t="n">
        <v>3</v>
      </c>
      <c r="L166" t="n">
        <v>4</v>
      </c>
      <c r="M166" t="n">
        <v>5</v>
      </c>
    </row>
    <row r="167">
      <c r="A167" s="6" t="n">
        <v>17</v>
      </c>
      <c r="B167" s="8" t="n">
        <v>0.3288</v>
      </c>
      <c r="C167" s="8" t="n">
        <v>0.0054</v>
      </c>
      <c r="D167" s="8" t="n">
        <v>0.2311</v>
      </c>
      <c r="E167" s="8" t="n">
        <v>0.1536</v>
      </c>
      <c r="F167" s="8" t="n">
        <v>0.2416</v>
      </c>
      <c r="I167" t="n">
        <v>1</v>
      </c>
      <c r="J167" t="n">
        <v>2</v>
      </c>
      <c r="K167" t="n">
        <v>3</v>
      </c>
      <c r="L167" t="n">
        <v>4</v>
      </c>
      <c r="M167" t="n">
        <v>5</v>
      </c>
    </row>
    <row r="168">
      <c r="A168" s="6" t="n">
        <v>18</v>
      </c>
      <c r="B168" s="8" t="n">
        <v>0.2779</v>
      </c>
      <c r="C168" s="8" t="n">
        <v>0.2604</v>
      </c>
      <c r="D168" s="8" t="n">
        <v>0.1315</v>
      </c>
      <c r="E168" s="8" t="n">
        <v>0.17</v>
      </c>
      <c r="F168" s="8" t="n">
        <v>0.1477</v>
      </c>
      <c r="I168" t="n">
        <v>1</v>
      </c>
      <c r="J168" t="n">
        <v>2</v>
      </c>
      <c r="K168" t="n">
        <v>3</v>
      </c>
      <c r="L168" t="n">
        <v>4</v>
      </c>
      <c r="M168" t="n">
        <v>5</v>
      </c>
    </row>
    <row r="169">
      <c r="A169" s="6" t="n">
        <v>19</v>
      </c>
      <c r="B169" s="8" t="n">
        <v>0.453</v>
      </c>
      <c r="C169" s="8" t="n">
        <v>0.1165</v>
      </c>
      <c r="D169" s="8" t="n">
        <v>0.3276</v>
      </c>
      <c r="E169" s="8" t="n">
        <v>0.214</v>
      </c>
      <c r="F169" s="8" t="n">
        <v>0.0445</v>
      </c>
      <c r="I169" t="n">
        <v>1</v>
      </c>
      <c r="J169" t="n">
        <v>2</v>
      </c>
      <c r="K169" t="n">
        <v>3</v>
      </c>
      <c r="L169" t="n">
        <v>4</v>
      </c>
      <c r="M169" t="n">
        <v>5</v>
      </c>
    </row>
    <row r="170">
      <c r="A170" s="6" t="n">
        <v>20</v>
      </c>
      <c r="B170" s="8" t="n">
        <v>0.4002</v>
      </c>
      <c r="C170" s="8" t="n">
        <v>0.3237</v>
      </c>
      <c r="D170" s="8" t="n">
        <v>0.3474</v>
      </c>
      <c r="E170" s="8" t="n">
        <v>0.2483</v>
      </c>
      <c r="F170" s="8" t="n">
        <v>0.2415</v>
      </c>
      <c r="I170" t="n">
        <v>1</v>
      </c>
      <c r="J170" t="n">
        <v>2</v>
      </c>
      <c r="K170" t="n">
        <v>3</v>
      </c>
      <c r="L170" t="n">
        <v>4</v>
      </c>
      <c r="M170" t="n">
        <v>5</v>
      </c>
    </row>
    <row r="172">
      <c r="A172" s="13" t="inlineStr">
        <is>
          <t>Lift — 10 equal-exposure buckets</t>
        </is>
      </c>
    </row>
    <row r="173">
      <c r="A173" s="4" t="inlineStr">
        <is>
          <t>Bucket</t>
        </is>
      </c>
      <c r="B173" s="5" t="inlineStr">
        <is>
          <t>Exposure</t>
        </is>
      </c>
      <c r="C173" s="5" t="inlineStr">
        <is>
          <t>Actual</t>
        </is>
      </c>
      <c r="D173" s="5" t="inlineStr">
        <is>
          <t>tabicl pred</t>
        </is>
      </c>
      <c r="E173" s="5" t="inlineStr">
        <is>
          <t>xgb_hurdle pred</t>
        </is>
      </c>
    </row>
    <row r="174">
      <c r="A174" s="6" t="n">
        <v>1</v>
      </c>
      <c r="B174" s="15" t="n">
        <v>7145.9</v>
      </c>
      <c r="C174" s="15" t="n">
        <v>29.61</v>
      </c>
      <c r="D174" s="15" t="n">
        <v>36.57</v>
      </c>
      <c r="E174" s="15" t="n">
        <v>57.82</v>
      </c>
    </row>
    <row r="175">
      <c r="A175" s="6" t="n">
        <v>2</v>
      </c>
      <c r="B175" s="15" t="n">
        <v>7146.7</v>
      </c>
      <c r="C175" s="15" t="n">
        <v>49.46</v>
      </c>
      <c r="D175" s="15" t="n">
        <v>46.48</v>
      </c>
      <c r="E175" s="15" t="n">
        <v>63.05</v>
      </c>
    </row>
    <row r="176">
      <c r="A176" s="6" t="n">
        <v>3</v>
      </c>
      <c r="B176" s="15" t="n">
        <v>7146.8</v>
      </c>
      <c r="C176" s="15" t="n">
        <v>53.49</v>
      </c>
      <c r="D176" s="15" t="n">
        <v>53.62</v>
      </c>
      <c r="E176" s="15" t="n">
        <v>68.09999999999999</v>
      </c>
    </row>
    <row r="177">
      <c r="A177" s="6" t="n">
        <v>4</v>
      </c>
      <c r="B177" s="15" t="n">
        <v>7145.8</v>
      </c>
      <c r="C177" s="15" t="n">
        <v>67.36</v>
      </c>
      <c r="D177" s="15" t="n">
        <v>60.69</v>
      </c>
      <c r="E177" s="15" t="n">
        <v>74.92</v>
      </c>
    </row>
    <row r="178">
      <c r="A178" s="6" t="n">
        <v>5</v>
      </c>
      <c r="B178" s="15" t="n">
        <v>7147.1</v>
      </c>
      <c r="C178" s="15" t="n">
        <v>121.64</v>
      </c>
      <c r="D178" s="15" t="n">
        <v>68.75</v>
      </c>
      <c r="E178" s="15" t="n">
        <v>81.66</v>
      </c>
    </row>
    <row r="179">
      <c r="A179" s="6" t="n">
        <v>6</v>
      </c>
      <c r="B179" s="15" t="n">
        <v>7146.4</v>
      </c>
      <c r="C179" s="15" t="n">
        <v>136.31</v>
      </c>
      <c r="D179" s="15" t="n">
        <v>79.31</v>
      </c>
      <c r="E179" s="15" t="n">
        <v>91.14</v>
      </c>
    </row>
    <row r="180">
      <c r="A180" s="6" t="n">
        <v>7</v>
      </c>
      <c r="B180" s="15" t="n">
        <v>7147</v>
      </c>
      <c r="C180" s="15" t="n">
        <v>129.76</v>
      </c>
      <c r="D180" s="15" t="n">
        <v>93.63</v>
      </c>
      <c r="E180" s="15" t="n">
        <v>105.8</v>
      </c>
    </row>
    <row r="181">
      <c r="A181" s="6" t="n">
        <v>8</v>
      </c>
      <c r="B181" s="15" t="n">
        <v>7146.2</v>
      </c>
      <c r="C181" s="15" t="n">
        <v>194.77</v>
      </c>
      <c r="D181" s="15" t="n">
        <v>113.9</v>
      </c>
      <c r="E181" s="15" t="n">
        <v>123.31</v>
      </c>
    </row>
    <row r="182">
      <c r="A182" s="6" t="n">
        <v>9</v>
      </c>
      <c r="B182" s="15" t="n">
        <v>7146.2</v>
      </c>
      <c r="C182" s="15" t="n">
        <v>224.14</v>
      </c>
      <c r="D182" s="15" t="n">
        <v>146.44</v>
      </c>
      <c r="E182" s="15" t="n">
        <v>152.64</v>
      </c>
    </row>
    <row r="183">
      <c r="A183" s="6" t="n">
        <v>10</v>
      </c>
      <c r="B183" s="15" t="n">
        <v>7147.3</v>
      </c>
      <c r="C183" s="15" t="n">
        <v>1152.99</v>
      </c>
      <c r="D183" s="15" t="n">
        <v>284.23</v>
      </c>
      <c r="E183" s="15" t="n">
        <v>308.98</v>
      </c>
    </row>
    <row r="193">
      <c r="A193" s="9" t="inlineStr">
        <is>
          <t>N = 20,000</t>
        </is>
      </c>
    </row>
    <row r="194">
      <c r="A194" s="13" t="inlineStr">
        <is>
          <t>Total-loss Gini — 20 draws</t>
        </is>
      </c>
    </row>
    <row r="195">
      <c r="A195" s="4" t="inlineStr">
        <is>
          <t>Draw</t>
        </is>
      </c>
      <c r="B195" s="5" t="inlineStr">
        <is>
          <t>tabicl</t>
        </is>
      </c>
      <c r="C195" s="5" t="inlineStr">
        <is>
          <t>xgb_hurdle</t>
        </is>
      </c>
      <c r="D195" s="5" t="inlineStr">
        <is>
          <t>xgb_tweedie</t>
        </is>
      </c>
      <c r="E195" s="5" t="inlineStr">
        <is>
          <t>glm_hurdle</t>
        </is>
      </c>
      <c r="F195" s="5" t="inlineStr">
        <is>
          <t>glm_tweedie</t>
        </is>
      </c>
      <c r="I195" s="14" t="inlineStr">
        <is>
          <t>tabicl</t>
        </is>
      </c>
      <c r="J195" s="14" t="inlineStr">
        <is>
          <t>xgb_hurdle</t>
        </is>
      </c>
      <c r="K195" s="14" t="inlineStr">
        <is>
          <t>xgb_tweedie</t>
        </is>
      </c>
      <c r="L195" s="14" t="inlineStr">
        <is>
          <t>glm_hurdle</t>
        </is>
      </c>
      <c r="M195" s="14" t="inlineStr">
        <is>
          <t>glm_tweedie</t>
        </is>
      </c>
    </row>
    <row r="196">
      <c r="A196" s="6" t="n">
        <v>1</v>
      </c>
      <c r="B196" s="8" t="n">
        <v>0.3827</v>
      </c>
      <c r="C196" s="8" t="n">
        <v>0.2534</v>
      </c>
      <c r="D196" s="8" t="n">
        <v>0.2637</v>
      </c>
      <c r="E196" s="8" t="n">
        <v>0.234</v>
      </c>
      <c r="F196" s="8" t="n">
        <v>0.1359</v>
      </c>
      <c r="I196" t="n">
        <v>1</v>
      </c>
      <c r="J196" t="n">
        <v>2</v>
      </c>
      <c r="K196" t="n">
        <v>3</v>
      </c>
      <c r="L196" t="n">
        <v>4</v>
      </c>
      <c r="M196" t="n">
        <v>5</v>
      </c>
    </row>
    <row r="197">
      <c r="A197" s="6" t="n">
        <v>2</v>
      </c>
      <c r="B197" s="8" t="n">
        <v>0.5006</v>
      </c>
      <c r="C197" s="8" t="n">
        <v>0.145</v>
      </c>
      <c r="D197" s="8" t="n">
        <v>0.1781</v>
      </c>
      <c r="E197" s="8" t="n">
        <v>0.1026</v>
      </c>
      <c r="F197" s="8" t="n">
        <v>0.0813</v>
      </c>
      <c r="I197" t="n">
        <v>1</v>
      </c>
      <c r="J197" t="n">
        <v>2</v>
      </c>
      <c r="K197" t="n">
        <v>3</v>
      </c>
      <c r="L197" t="n">
        <v>4</v>
      </c>
      <c r="M197" t="n">
        <v>5</v>
      </c>
    </row>
    <row r="198">
      <c r="A198" s="6" t="n">
        <v>3</v>
      </c>
      <c r="B198" s="8" t="n">
        <v>0.3091</v>
      </c>
      <c r="C198" s="8" t="n">
        <v>0.4156</v>
      </c>
      <c r="D198" s="8" t="n">
        <v>0.1957</v>
      </c>
      <c r="E198" s="8" t="n">
        <v>0.3628</v>
      </c>
      <c r="F198" s="8" t="n">
        <v>0.1071</v>
      </c>
      <c r="I198" t="n">
        <v>1</v>
      </c>
      <c r="J198" t="n">
        <v>2</v>
      </c>
      <c r="K198" t="n">
        <v>3</v>
      </c>
      <c r="L198" t="n">
        <v>4</v>
      </c>
      <c r="M198" t="n">
        <v>5</v>
      </c>
    </row>
    <row r="199">
      <c r="A199" s="6" t="n">
        <v>4</v>
      </c>
      <c r="B199" s="8" t="n">
        <v>0.3079</v>
      </c>
      <c r="C199" s="8" t="n">
        <v>0.1452</v>
      </c>
      <c r="D199" s="8" t="n">
        <v>0.2409</v>
      </c>
      <c r="E199" s="8" t="n">
        <v>0.3818</v>
      </c>
      <c r="F199" s="8" t="n">
        <v>0.3769</v>
      </c>
      <c r="I199" t="n">
        <v>1</v>
      </c>
      <c r="J199" t="n">
        <v>2</v>
      </c>
      <c r="K199" t="n">
        <v>3</v>
      </c>
      <c r="L199" t="n">
        <v>4</v>
      </c>
      <c r="M199" t="n">
        <v>5</v>
      </c>
    </row>
    <row r="200">
      <c r="A200" s="6" t="n">
        <v>5</v>
      </c>
      <c r="B200" s="8" t="n">
        <v>0.4076</v>
      </c>
      <c r="C200" s="8" t="n">
        <v>0.3221</v>
      </c>
      <c r="D200" s="8" t="n">
        <v>0.2612</v>
      </c>
      <c r="E200" s="8" t="n">
        <v>0.1413</v>
      </c>
      <c r="F200" s="8" t="n">
        <v>0.1937</v>
      </c>
      <c r="I200" t="n">
        <v>1</v>
      </c>
      <c r="J200" t="n">
        <v>2</v>
      </c>
      <c r="K200" t="n">
        <v>3</v>
      </c>
      <c r="L200" t="n">
        <v>4</v>
      </c>
      <c r="M200" t="n">
        <v>5</v>
      </c>
    </row>
    <row r="201">
      <c r="A201" s="6" t="n">
        <v>6</v>
      </c>
      <c r="B201" s="8" t="n">
        <v>0.4814</v>
      </c>
      <c r="C201" s="8" t="n">
        <v>0.1461</v>
      </c>
      <c r="D201" s="8" t="n">
        <v>0.2683</v>
      </c>
      <c r="E201" s="8" t="n">
        <v>0.1503</v>
      </c>
      <c r="F201" s="8" t="n">
        <v>0.3556</v>
      </c>
      <c r="I201" t="n">
        <v>1</v>
      </c>
      <c r="J201" t="n">
        <v>2</v>
      </c>
      <c r="K201" t="n">
        <v>3</v>
      </c>
      <c r="L201" t="n">
        <v>4</v>
      </c>
      <c r="M201" t="n">
        <v>5</v>
      </c>
    </row>
    <row r="202">
      <c r="A202" s="6" t="n">
        <v>7</v>
      </c>
      <c r="B202" s="8" t="n">
        <v>0.335</v>
      </c>
      <c r="C202" s="8" t="n">
        <v>0.3397</v>
      </c>
      <c r="D202" s="8" t="n">
        <v>0.2443</v>
      </c>
      <c r="E202" s="8" t="n">
        <v>0.0859</v>
      </c>
      <c r="F202" s="8" t="n">
        <v>0.07870000000000001</v>
      </c>
      <c r="I202" t="n">
        <v>1</v>
      </c>
      <c r="J202" t="n">
        <v>2</v>
      </c>
      <c r="K202" t="n">
        <v>3</v>
      </c>
      <c r="L202" t="n">
        <v>4</v>
      </c>
      <c r="M202" t="n">
        <v>5</v>
      </c>
    </row>
    <row r="203">
      <c r="A203" s="6" t="n">
        <v>8</v>
      </c>
      <c r="B203" s="8" t="n">
        <v>0.3436</v>
      </c>
      <c r="C203" s="8" t="n">
        <v>0.3033</v>
      </c>
      <c r="D203" s="8" t="n">
        <v>0.2197</v>
      </c>
      <c r="E203" s="8" t="n">
        <v>0.2299</v>
      </c>
      <c r="F203" s="8" t="n">
        <v>0.3241</v>
      </c>
      <c r="I203" t="n">
        <v>1</v>
      </c>
      <c r="J203" t="n">
        <v>2</v>
      </c>
      <c r="K203" t="n">
        <v>3</v>
      </c>
      <c r="L203" t="n">
        <v>4</v>
      </c>
      <c r="M203" t="n">
        <v>5</v>
      </c>
    </row>
    <row r="204">
      <c r="A204" s="6" t="n">
        <v>9</v>
      </c>
      <c r="B204" s="8" t="n">
        <v>0.3798</v>
      </c>
      <c r="C204" s="8" t="n">
        <v>0.1073</v>
      </c>
      <c r="D204" s="8" t="n">
        <v>0.1858</v>
      </c>
      <c r="E204" s="8" t="n">
        <v>0.3985</v>
      </c>
      <c r="F204" s="8" t="n">
        <v>0.3237</v>
      </c>
      <c r="I204" t="n">
        <v>1</v>
      </c>
      <c r="J204" t="n">
        <v>2</v>
      </c>
      <c r="K204" t="n">
        <v>3</v>
      </c>
      <c r="L204" t="n">
        <v>4</v>
      </c>
      <c r="M204" t="n">
        <v>5</v>
      </c>
    </row>
    <row r="205">
      <c r="A205" s="6" t="n">
        <v>10</v>
      </c>
      <c r="B205" s="8" t="n">
        <v>0.4694</v>
      </c>
      <c r="C205" s="8" t="n">
        <v>0.1008</v>
      </c>
      <c r="D205" s="8" t="n">
        <v>0.4357</v>
      </c>
      <c r="E205" s="8" t="n">
        <v>0.3809</v>
      </c>
      <c r="F205" s="8" t="n">
        <v>0.1975</v>
      </c>
      <c r="I205" t="n">
        <v>1</v>
      </c>
      <c r="J205" t="n">
        <v>2</v>
      </c>
      <c r="K205" t="n">
        <v>3</v>
      </c>
      <c r="L205" t="n">
        <v>4</v>
      </c>
      <c r="M205" t="n">
        <v>5</v>
      </c>
    </row>
    <row r="206">
      <c r="A206" s="6" t="n">
        <v>11</v>
      </c>
      <c r="B206" s="8" t="n">
        <v>0.4352</v>
      </c>
      <c r="C206" s="8" t="n">
        <v>0.2985</v>
      </c>
      <c r="D206" s="8" t="n">
        <v>0.1837</v>
      </c>
      <c r="E206" s="8" t="n">
        <v>0.3419</v>
      </c>
      <c r="F206" s="8" t="n">
        <v>0.08</v>
      </c>
      <c r="I206" t="n">
        <v>1</v>
      </c>
      <c r="J206" t="n">
        <v>2</v>
      </c>
      <c r="K206" t="n">
        <v>3</v>
      </c>
      <c r="L206" t="n">
        <v>4</v>
      </c>
      <c r="M206" t="n">
        <v>5</v>
      </c>
    </row>
    <row r="207">
      <c r="A207" s="6" t="n">
        <v>12</v>
      </c>
      <c r="B207" s="8" t="n">
        <v>0.2873</v>
      </c>
      <c r="C207" s="8" t="n">
        <v>0.4203</v>
      </c>
      <c r="D207" s="8" t="n">
        <v>0.1186</v>
      </c>
      <c r="E207" s="8" t="n">
        <v>0.178</v>
      </c>
      <c r="F207" s="8" t="n">
        <v>0.2906</v>
      </c>
      <c r="I207" t="n">
        <v>1</v>
      </c>
      <c r="J207" t="n">
        <v>2</v>
      </c>
      <c r="K207" t="n">
        <v>3</v>
      </c>
      <c r="L207" t="n">
        <v>4</v>
      </c>
      <c r="M207" t="n">
        <v>5</v>
      </c>
    </row>
    <row r="208">
      <c r="A208" s="6" t="n">
        <v>13</v>
      </c>
      <c r="B208" s="8" t="n">
        <v>0.4889</v>
      </c>
      <c r="C208" s="8" t="n">
        <v>0.0321</v>
      </c>
      <c r="D208" s="8" t="n">
        <v>0.2359</v>
      </c>
      <c r="E208" s="8" t="n">
        <v>0.2492</v>
      </c>
      <c r="F208" s="8" t="n">
        <v>0.3959</v>
      </c>
      <c r="I208" t="n">
        <v>1</v>
      </c>
      <c r="J208" t="n">
        <v>2</v>
      </c>
      <c r="K208" t="n">
        <v>3</v>
      </c>
      <c r="L208" t="n">
        <v>4</v>
      </c>
      <c r="M208" t="n">
        <v>5</v>
      </c>
    </row>
    <row r="209">
      <c r="A209" s="6" t="n">
        <v>14</v>
      </c>
      <c r="B209" s="8" t="n">
        <v>0.4085</v>
      </c>
      <c r="C209" s="8" t="n">
        <v>0.2438</v>
      </c>
      <c r="D209" s="8" t="n">
        <v>0.3817</v>
      </c>
      <c r="E209" s="8" t="n">
        <v>0.3808</v>
      </c>
      <c r="F209" s="8" t="n">
        <v>0.09320000000000001</v>
      </c>
      <c r="I209" t="n">
        <v>1</v>
      </c>
      <c r="J209" t="n">
        <v>2</v>
      </c>
      <c r="K209" t="n">
        <v>3</v>
      </c>
      <c r="L209" t="n">
        <v>4</v>
      </c>
      <c r="M209" t="n">
        <v>5</v>
      </c>
    </row>
    <row r="210">
      <c r="A210" s="6" t="n">
        <v>15</v>
      </c>
      <c r="B210" s="8" t="n">
        <v>0.3797</v>
      </c>
      <c r="C210" s="8" t="n">
        <v>0.2086</v>
      </c>
      <c r="D210" s="8" t="n">
        <v>0.2363</v>
      </c>
      <c r="E210" s="8" t="n">
        <v>0.1602</v>
      </c>
      <c r="F210" s="8" t="n">
        <v>0.2292</v>
      </c>
      <c r="I210" t="n">
        <v>1</v>
      </c>
      <c r="J210" t="n">
        <v>2</v>
      </c>
      <c r="K210" t="n">
        <v>3</v>
      </c>
      <c r="L210" t="n">
        <v>4</v>
      </c>
      <c r="M210" t="n">
        <v>5</v>
      </c>
    </row>
    <row r="211">
      <c r="A211" s="6" t="n">
        <v>16</v>
      </c>
      <c r="B211" s="8" t="n">
        <v>0.4327</v>
      </c>
      <c r="C211" s="8" t="n">
        <v>0.3316</v>
      </c>
      <c r="D211" s="8" t="n">
        <v>0.2364</v>
      </c>
      <c r="E211" s="8" t="n">
        <v>0.2003</v>
      </c>
      <c r="F211" s="8" t="n">
        <v>0.0613</v>
      </c>
      <c r="I211" t="n">
        <v>1</v>
      </c>
      <c r="J211" t="n">
        <v>2</v>
      </c>
      <c r="K211" t="n">
        <v>3</v>
      </c>
      <c r="L211" t="n">
        <v>4</v>
      </c>
      <c r="M211" t="n">
        <v>5</v>
      </c>
    </row>
    <row r="212">
      <c r="A212" s="6" t="n">
        <v>17</v>
      </c>
      <c r="B212" s="8" t="n">
        <v>0.504</v>
      </c>
      <c r="C212" s="8" t="n">
        <v>0.4059</v>
      </c>
      <c r="D212" s="8" t="n">
        <v>0.1865</v>
      </c>
      <c r="E212" s="8" t="n">
        <v>0.0688</v>
      </c>
      <c r="F212" s="8" t="n">
        <v>0.1422</v>
      </c>
      <c r="I212" t="n">
        <v>1</v>
      </c>
      <c r="J212" t="n">
        <v>2</v>
      </c>
      <c r="K212" t="n">
        <v>3</v>
      </c>
      <c r="L212" t="n">
        <v>4</v>
      </c>
      <c r="M212" t="n">
        <v>5</v>
      </c>
    </row>
    <row r="213">
      <c r="A213" s="6" t="n">
        <v>18</v>
      </c>
      <c r="B213" s="8" t="n">
        <v>0.4821</v>
      </c>
      <c r="C213" s="8" t="n">
        <v>0.1144</v>
      </c>
      <c r="D213" s="8" t="n">
        <v>0.2135</v>
      </c>
      <c r="E213" s="8" t="n">
        <v>0.329</v>
      </c>
      <c r="F213" s="8" t="n">
        <v>0.2968</v>
      </c>
      <c r="I213" t="n">
        <v>1</v>
      </c>
      <c r="J213" t="n">
        <v>2</v>
      </c>
      <c r="K213" t="n">
        <v>3</v>
      </c>
      <c r="L213" t="n">
        <v>4</v>
      </c>
      <c r="M213" t="n">
        <v>5</v>
      </c>
    </row>
    <row r="214">
      <c r="A214" s="6" t="n">
        <v>19</v>
      </c>
      <c r="B214" s="8" t="n">
        <v>0.3971</v>
      </c>
      <c r="C214" s="8" t="n">
        <v>0.1393</v>
      </c>
      <c r="D214" s="8" t="n">
        <v>0.3293</v>
      </c>
      <c r="E214" s="8" t="n">
        <v>0.07920000000000001</v>
      </c>
      <c r="F214" s="8" t="n">
        <v>0.197</v>
      </c>
      <c r="I214" t="n">
        <v>1</v>
      </c>
      <c r="J214" t="n">
        <v>2</v>
      </c>
      <c r="K214" t="n">
        <v>3</v>
      </c>
      <c r="L214" t="n">
        <v>4</v>
      </c>
      <c r="M214" t="n">
        <v>5</v>
      </c>
    </row>
    <row r="215">
      <c r="A215" s="6" t="n">
        <v>20</v>
      </c>
      <c r="B215" s="8" t="n">
        <v>0.4971</v>
      </c>
      <c r="C215" s="8" t="n">
        <v>0.2572</v>
      </c>
      <c r="D215" s="8" t="n">
        <v>0.154</v>
      </c>
      <c r="E215" s="8" t="n">
        <v>0.2688</v>
      </c>
      <c r="F215" s="8" t="n">
        <v>0.07149999999999999</v>
      </c>
      <c r="I215" t="n">
        <v>1</v>
      </c>
      <c r="J215" t="n">
        <v>2</v>
      </c>
      <c r="K215" t="n">
        <v>3</v>
      </c>
      <c r="L215" t="n">
        <v>4</v>
      </c>
      <c r="M215" t="n">
        <v>5</v>
      </c>
    </row>
    <row r="217">
      <c r="A217" s="13" t="inlineStr">
        <is>
          <t>Lift — 10 equal-exposure buckets</t>
        </is>
      </c>
    </row>
    <row r="218">
      <c r="A218" s="4" t="inlineStr">
        <is>
          <t>Bucket</t>
        </is>
      </c>
      <c r="B218" s="5" t="inlineStr">
        <is>
          <t>Exposure</t>
        </is>
      </c>
      <c r="C218" s="5" t="inlineStr">
        <is>
          <t>Actual</t>
        </is>
      </c>
      <c r="D218" s="5" t="inlineStr">
        <is>
          <t>tabicl pred</t>
        </is>
      </c>
      <c r="E218" s="5" t="inlineStr">
        <is>
          <t>xgb_hurdle pred</t>
        </is>
      </c>
    </row>
    <row r="219">
      <c r="A219" s="6" t="n">
        <v>1</v>
      </c>
      <c r="B219" s="15" t="n">
        <v>7146</v>
      </c>
      <c r="C219" s="15" t="n">
        <v>28.81</v>
      </c>
      <c r="D219" s="15" t="n">
        <v>28.68</v>
      </c>
      <c r="E219" s="15" t="n">
        <v>53.28</v>
      </c>
    </row>
    <row r="220">
      <c r="A220" s="6" t="n">
        <v>2</v>
      </c>
      <c r="B220" s="15" t="n">
        <v>7146.4</v>
      </c>
      <c r="C220" s="15" t="n">
        <v>43.96</v>
      </c>
      <c r="D220" s="15" t="n">
        <v>39.07</v>
      </c>
      <c r="E220" s="15" t="n">
        <v>58.86</v>
      </c>
    </row>
    <row r="221">
      <c r="A221" s="6" t="n">
        <v>3</v>
      </c>
      <c r="B221" s="15" t="n">
        <v>7147.1</v>
      </c>
      <c r="C221" s="15" t="n">
        <v>65.17</v>
      </c>
      <c r="D221" s="15" t="n">
        <v>47.21</v>
      </c>
      <c r="E221" s="15" t="n">
        <v>64</v>
      </c>
    </row>
    <row r="222">
      <c r="A222" s="6" t="n">
        <v>4</v>
      </c>
      <c r="B222" s="15" t="n">
        <v>7146.4</v>
      </c>
      <c r="C222" s="15" t="n">
        <v>59.95</v>
      </c>
      <c r="D222" s="15" t="n">
        <v>55.42</v>
      </c>
      <c r="E222" s="15" t="n">
        <v>70.38</v>
      </c>
    </row>
    <row r="223">
      <c r="A223" s="6" t="n">
        <v>5</v>
      </c>
      <c r="B223" s="15" t="n">
        <v>7146.5</v>
      </c>
      <c r="C223" s="15" t="n">
        <v>132.98</v>
      </c>
      <c r="D223" s="15" t="n">
        <v>64.7</v>
      </c>
      <c r="E223" s="15" t="n">
        <v>78.84</v>
      </c>
    </row>
    <row r="224">
      <c r="A224" s="6" t="n">
        <v>6</v>
      </c>
      <c r="B224" s="15" t="n">
        <v>7146.2</v>
      </c>
      <c r="C224" s="15" t="n">
        <v>118.7</v>
      </c>
      <c r="D224" s="15" t="n">
        <v>76.25</v>
      </c>
      <c r="E224" s="15" t="n">
        <v>94.09999999999999</v>
      </c>
    </row>
    <row r="225">
      <c r="A225" s="6" t="n">
        <v>7</v>
      </c>
      <c r="B225" s="15" t="n">
        <v>7146.5</v>
      </c>
      <c r="C225" s="15" t="n">
        <v>179.8</v>
      </c>
      <c r="D225" s="15" t="n">
        <v>92.25</v>
      </c>
      <c r="E225" s="15" t="n">
        <v>110.48</v>
      </c>
    </row>
    <row r="226">
      <c r="A226" s="6" t="n">
        <v>8</v>
      </c>
      <c r="B226" s="15" t="n">
        <v>7146.6</v>
      </c>
      <c r="C226" s="15" t="n">
        <v>154.67</v>
      </c>
      <c r="D226" s="15" t="n">
        <v>115.62</v>
      </c>
      <c r="E226" s="15" t="n">
        <v>130.64</v>
      </c>
    </row>
    <row r="227">
      <c r="A227" s="6" t="n">
        <v>9</v>
      </c>
      <c r="B227" s="15" t="n">
        <v>7147</v>
      </c>
      <c r="C227" s="15" t="n">
        <v>227.23</v>
      </c>
      <c r="D227" s="15" t="n">
        <v>155.31</v>
      </c>
      <c r="E227" s="15" t="n">
        <v>169.83</v>
      </c>
    </row>
    <row r="228">
      <c r="A228" s="6" t="n">
        <v>10</v>
      </c>
      <c r="B228" s="15" t="n">
        <v>7146.6</v>
      </c>
      <c r="C228" s="15" t="n">
        <v>1148.32</v>
      </c>
      <c r="D228" s="15" t="n">
        <v>303.18</v>
      </c>
      <c r="E228" s="15" t="n">
        <v>340.61</v>
      </c>
    </row>
    <row r="238">
      <c r="A238" s="9" t="inlineStr">
        <is>
          <t>N = 100,000</t>
        </is>
      </c>
    </row>
    <row r="239">
      <c r="A239" s="13" t="inlineStr">
        <is>
          <t>Total-loss Gini — 20 draws</t>
        </is>
      </c>
    </row>
    <row r="240">
      <c r="A240" s="4" t="inlineStr">
        <is>
          <t>Draw</t>
        </is>
      </c>
      <c r="B240" s="5" t="inlineStr">
        <is>
          <t>tabicl</t>
        </is>
      </c>
      <c r="C240" s="5" t="inlineStr">
        <is>
          <t>xgb_hurdle</t>
        </is>
      </c>
      <c r="D240" s="5" t="inlineStr">
        <is>
          <t>xgb_tweedie</t>
        </is>
      </c>
      <c r="E240" s="5" t="inlineStr">
        <is>
          <t>glm_hurdle</t>
        </is>
      </c>
      <c r="F240" s="5" t="inlineStr">
        <is>
          <t>glm_tweedie</t>
        </is>
      </c>
      <c r="I240" s="14" t="inlineStr">
        <is>
          <t>tabicl</t>
        </is>
      </c>
      <c r="J240" s="14" t="inlineStr">
        <is>
          <t>xgb_hurdle</t>
        </is>
      </c>
      <c r="K240" s="14" t="inlineStr">
        <is>
          <t>xgb_tweedie</t>
        </is>
      </c>
      <c r="L240" s="14" t="inlineStr">
        <is>
          <t>glm_hurdle</t>
        </is>
      </c>
      <c r="M240" s="14" t="inlineStr">
        <is>
          <t>glm_tweedie</t>
        </is>
      </c>
    </row>
    <row r="241">
      <c r="A241" s="6" t="n">
        <v>1</v>
      </c>
      <c r="B241" s="8" t="n">
        <v>0.5294</v>
      </c>
      <c r="C241" s="8" t="n">
        <v>0.4548</v>
      </c>
      <c r="D241" s="8" t="n">
        <v>0.2569</v>
      </c>
      <c r="E241" s="8" t="n">
        <v>0.2876</v>
      </c>
      <c r="F241" s="8" t="n">
        <v>0.3437</v>
      </c>
      <c r="I241" t="n">
        <v>1</v>
      </c>
      <c r="J241" t="n">
        <v>2</v>
      </c>
      <c r="K241" t="n">
        <v>3</v>
      </c>
      <c r="L241" t="n">
        <v>4</v>
      </c>
      <c r="M241" t="n">
        <v>5</v>
      </c>
    </row>
    <row r="242">
      <c r="A242" s="6" t="n">
        <v>2</v>
      </c>
      <c r="B242" s="8" t="n">
        <v>0.4571</v>
      </c>
      <c r="C242" s="8" t="n">
        <v>0.4821</v>
      </c>
      <c r="D242" s="8" t="n">
        <v>0.476</v>
      </c>
      <c r="E242" s="8" t="n">
        <v>0.2343</v>
      </c>
      <c r="F242" s="8" t="n">
        <v>0.3317</v>
      </c>
      <c r="I242" t="n">
        <v>1</v>
      </c>
      <c r="J242" t="n">
        <v>2</v>
      </c>
      <c r="K242" t="n">
        <v>3</v>
      </c>
      <c r="L242" t="n">
        <v>4</v>
      </c>
      <c r="M242" t="n">
        <v>5</v>
      </c>
    </row>
    <row r="243">
      <c r="A243" s="6" t="n">
        <v>3</v>
      </c>
      <c r="B243" s="8" t="n">
        <v>0.4998</v>
      </c>
      <c r="C243" s="8" t="n">
        <v>0.5073</v>
      </c>
      <c r="D243" s="8" t="n">
        <v>0.2822</v>
      </c>
      <c r="E243" s="8" t="n">
        <v>0.2791</v>
      </c>
      <c r="F243" s="8" t="n">
        <v>0.1929</v>
      </c>
      <c r="I243" t="n">
        <v>1</v>
      </c>
      <c r="J243" t="n">
        <v>2</v>
      </c>
      <c r="K243" t="n">
        <v>3</v>
      </c>
      <c r="L243" t="n">
        <v>4</v>
      </c>
      <c r="M243" t="n">
        <v>5</v>
      </c>
    </row>
    <row r="244">
      <c r="A244" s="6" t="n">
        <v>4</v>
      </c>
      <c r="B244" s="8" t="n">
        <v>0.4723</v>
      </c>
      <c r="C244" s="8" t="n">
        <v>0.4285</v>
      </c>
      <c r="D244" s="8" t="n">
        <v>0.3083</v>
      </c>
      <c r="E244" s="8" t="n">
        <v>0.1871</v>
      </c>
      <c r="F244" s="8" t="n">
        <v>0.1169</v>
      </c>
      <c r="I244" t="n">
        <v>1</v>
      </c>
      <c r="J244" t="n">
        <v>2</v>
      </c>
      <c r="K244" t="n">
        <v>3</v>
      </c>
      <c r="L244" t="n">
        <v>4</v>
      </c>
      <c r="M244" t="n">
        <v>5</v>
      </c>
    </row>
    <row r="245">
      <c r="A245" s="6" t="n">
        <v>5</v>
      </c>
      <c r="B245" s="8" t="n">
        <v>0.3938</v>
      </c>
      <c r="C245" s="8" t="n">
        <v>0.3624</v>
      </c>
      <c r="D245" s="8" t="n">
        <v>0.4361</v>
      </c>
      <c r="E245" s="8" t="n">
        <v>0.3023</v>
      </c>
      <c r="F245" s="8" t="n">
        <v>0.1065</v>
      </c>
      <c r="I245" t="n">
        <v>1</v>
      </c>
      <c r="J245" t="n">
        <v>2</v>
      </c>
      <c r="K245" t="n">
        <v>3</v>
      </c>
      <c r="L245" t="n">
        <v>4</v>
      </c>
      <c r="M245" t="n">
        <v>5</v>
      </c>
    </row>
    <row r="246">
      <c r="A246" s="6" t="n">
        <v>6</v>
      </c>
      <c r="B246" s="8" t="n">
        <v>0.5</v>
      </c>
      <c r="C246" s="7" t="n"/>
      <c r="D246" s="7" t="n"/>
      <c r="E246" s="7" t="n"/>
      <c r="F246" s="7" t="n"/>
      <c r="I246" t="n">
        <v>1</v>
      </c>
      <c r="J246" t="n">
        <v>2</v>
      </c>
      <c r="K246" t="n">
        <v>3</v>
      </c>
      <c r="L246" t="n">
        <v>4</v>
      </c>
      <c r="M246" t="n">
        <v>5</v>
      </c>
    </row>
    <row r="247">
      <c r="A247" s="6" t="n">
        <v>7</v>
      </c>
      <c r="B247" s="8" t="n">
        <v>0.5298</v>
      </c>
      <c r="C247" s="7" t="n"/>
      <c r="D247" s="7" t="n"/>
      <c r="E247" s="7" t="n"/>
      <c r="F247" s="7" t="n"/>
      <c r="I247" t="n">
        <v>1</v>
      </c>
      <c r="J247" t="n">
        <v>2</v>
      </c>
      <c r="K247" t="n">
        <v>3</v>
      </c>
      <c r="L247" t="n">
        <v>4</v>
      </c>
      <c r="M247" t="n">
        <v>5</v>
      </c>
    </row>
    <row r="248">
      <c r="A248" s="6" t="n">
        <v>8</v>
      </c>
      <c r="B248" s="8" t="n">
        <v>0.4942</v>
      </c>
      <c r="C248" s="7" t="n"/>
      <c r="D248" s="7" t="n"/>
      <c r="E248" s="7" t="n"/>
      <c r="F248" s="7" t="n"/>
      <c r="I248" t="n">
        <v>1</v>
      </c>
      <c r="J248" t="n">
        <v>2</v>
      </c>
      <c r="K248" t="n">
        <v>3</v>
      </c>
      <c r="L248" t="n">
        <v>4</v>
      </c>
      <c r="M248" t="n">
        <v>5</v>
      </c>
    </row>
    <row r="249">
      <c r="A249" s="6" t="n">
        <v>9</v>
      </c>
      <c r="B249" s="8" t="n">
        <v>0.5202</v>
      </c>
      <c r="C249" s="7" t="n"/>
      <c r="D249" s="7" t="n"/>
      <c r="E249" s="7" t="n"/>
      <c r="F249" s="7" t="n"/>
      <c r="I249" t="n">
        <v>1</v>
      </c>
      <c r="J249" t="n">
        <v>2</v>
      </c>
      <c r="K249" t="n">
        <v>3</v>
      </c>
      <c r="L249" t="n">
        <v>4</v>
      </c>
      <c r="M249" t="n">
        <v>5</v>
      </c>
    </row>
    <row r="250">
      <c r="A250" s="6" t="n">
        <v>10</v>
      </c>
      <c r="B250" s="8" t="n">
        <v>0.4923</v>
      </c>
      <c r="C250" s="7" t="n"/>
      <c r="D250" s="7" t="n"/>
      <c r="E250" s="7" t="n"/>
      <c r="F250" s="7" t="n"/>
      <c r="I250" t="n">
        <v>1</v>
      </c>
      <c r="J250" t="n">
        <v>2</v>
      </c>
      <c r="K250" t="n">
        <v>3</v>
      </c>
      <c r="L250" t="n">
        <v>4</v>
      </c>
      <c r="M250" t="n">
        <v>5</v>
      </c>
    </row>
    <row r="251">
      <c r="A251" s="6" t="n">
        <v>11</v>
      </c>
      <c r="B251" s="8" t="n">
        <v>0.4813</v>
      </c>
      <c r="C251" s="7" t="n"/>
      <c r="D251" s="7" t="n"/>
      <c r="E251" s="7" t="n"/>
      <c r="F251" s="7" t="n"/>
      <c r="I251" t="n">
        <v>1</v>
      </c>
      <c r="J251" t="n">
        <v>2</v>
      </c>
      <c r="K251" t="n">
        <v>3</v>
      </c>
      <c r="L251" t="n">
        <v>4</v>
      </c>
      <c r="M251" t="n">
        <v>5</v>
      </c>
    </row>
    <row r="252">
      <c r="A252" s="6" t="n">
        <v>12</v>
      </c>
      <c r="B252" s="8" t="n">
        <v>0.5366</v>
      </c>
      <c r="C252" s="7" t="n"/>
      <c r="D252" s="7" t="n"/>
      <c r="E252" s="7" t="n"/>
      <c r="F252" s="7" t="n"/>
      <c r="I252" t="n">
        <v>1</v>
      </c>
      <c r="J252" t="n">
        <v>2</v>
      </c>
      <c r="K252" t="n">
        <v>3</v>
      </c>
      <c r="L252" t="n">
        <v>4</v>
      </c>
      <c r="M252" t="n">
        <v>5</v>
      </c>
    </row>
    <row r="253">
      <c r="A253" s="6" t="n">
        <v>13</v>
      </c>
      <c r="B253" s="8" t="n">
        <v>0.4767</v>
      </c>
      <c r="C253" s="7" t="n"/>
      <c r="D253" s="7" t="n"/>
      <c r="E253" s="7" t="n"/>
      <c r="F253" s="7" t="n"/>
      <c r="I253" t="n">
        <v>1</v>
      </c>
      <c r="J253" t="n">
        <v>2</v>
      </c>
      <c r="K253" t="n">
        <v>3</v>
      </c>
      <c r="L253" t="n">
        <v>4</v>
      </c>
      <c r="M253" t="n">
        <v>5</v>
      </c>
    </row>
    <row r="254">
      <c r="A254" s="6" t="n">
        <v>14</v>
      </c>
      <c r="B254" s="8" t="n">
        <v>0.5389</v>
      </c>
      <c r="C254" s="7" t="n"/>
      <c r="D254" s="7" t="n"/>
      <c r="E254" s="7" t="n"/>
      <c r="F254" s="7" t="n"/>
      <c r="I254" t="n">
        <v>1</v>
      </c>
      <c r="J254" t="n">
        <v>2</v>
      </c>
      <c r="K254" t="n">
        <v>3</v>
      </c>
      <c r="L254" t="n">
        <v>4</v>
      </c>
      <c r="M254" t="n">
        <v>5</v>
      </c>
    </row>
    <row r="255">
      <c r="A255" s="6" t="n">
        <v>15</v>
      </c>
      <c r="B255" s="8" t="n">
        <v>0.4183</v>
      </c>
      <c r="C255" s="7" t="n"/>
      <c r="D255" s="7" t="n"/>
      <c r="E255" s="7" t="n"/>
      <c r="F255" s="7" t="n"/>
      <c r="I255" t="n">
        <v>1</v>
      </c>
      <c r="J255" t="n">
        <v>2</v>
      </c>
      <c r="K255" t="n">
        <v>3</v>
      </c>
      <c r="L255" t="n">
        <v>4</v>
      </c>
      <c r="M255" t="n">
        <v>5</v>
      </c>
    </row>
    <row r="256">
      <c r="A256" s="6" t="n">
        <v>16</v>
      </c>
      <c r="B256" s="8" t="n">
        <v>0.4565</v>
      </c>
      <c r="C256" s="7" t="n"/>
      <c r="D256" s="7" t="n"/>
      <c r="E256" s="7" t="n"/>
      <c r="F256" s="7" t="n"/>
      <c r="I256" t="n">
        <v>1</v>
      </c>
      <c r="J256" t="n">
        <v>2</v>
      </c>
      <c r="K256" t="n">
        <v>3</v>
      </c>
      <c r="L256" t="n">
        <v>4</v>
      </c>
      <c r="M256" t="n">
        <v>5</v>
      </c>
    </row>
    <row r="257">
      <c r="A257" s="6" t="n">
        <v>17</v>
      </c>
      <c r="B257" s="8" t="n">
        <v>0.444</v>
      </c>
      <c r="C257" s="7" t="n"/>
      <c r="D257" s="7" t="n"/>
      <c r="E257" s="7" t="n"/>
      <c r="F257" s="7" t="n"/>
      <c r="I257" t="n">
        <v>1</v>
      </c>
      <c r="J257" t="n">
        <v>2</v>
      </c>
      <c r="K257" t="n">
        <v>3</v>
      </c>
      <c r="L257" t="n">
        <v>4</v>
      </c>
      <c r="M257" t="n">
        <v>5</v>
      </c>
    </row>
    <row r="258">
      <c r="A258" s="6" t="n">
        <v>18</v>
      </c>
      <c r="B258" s="8" t="n">
        <v>0.4444</v>
      </c>
      <c r="C258" s="7" t="n"/>
      <c r="D258" s="7" t="n"/>
      <c r="E258" s="7" t="n"/>
      <c r="F258" s="7" t="n"/>
      <c r="I258" t="n">
        <v>1</v>
      </c>
      <c r="J258" t="n">
        <v>2</v>
      </c>
      <c r="K258" t="n">
        <v>3</v>
      </c>
      <c r="L258" t="n">
        <v>4</v>
      </c>
      <c r="M258" t="n">
        <v>5</v>
      </c>
    </row>
    <row r="259">
      <c r="A259" s="6" t="n">
        <v>19</v>
      </c>
      <c r="B259" s="8" t="n">
        <v>0.5091</v>
      </c>
      <c r="C259" s="7" t="n"/>
      <c r="D259" s="7" t="n"/>
      <c r="E259" s="7" t="n"/>
      <c r="F259" s="7" t="n"/>
      <c r="I259" t="n">
        <v>1</v>
      </c>
      <c r="J259" t="n">
        <v>2</v>
      </c>
      <c r="K259" t="n">
        <v>3</v>
      </c>
      <c r="L259" t="n">
        <v>4</v>
      </c>
      <c r="M259" t="n">
        <v>5</v>
      </c>
    </row>
    <row r="260">
      <c r="A260" s="6" t="n">
        <v>20</v>
      </c>
      <c r="B260" s="8" t="n">
        <v>0.5031</v>
      </c>
      <c r="C260" s="7" t="n"/>
      <c r="D260" s="7" t="n"/>
      <c r="E260" s="7" t="n"/>
      <c r="F260" s="7" t="n"/>
      <c r="I260" t="n">
        <v>1</v>
      </c>
      <c r="J260" t="n">
        <v>2</v>
      </c>
      <c r="K260" t="n">
        <v>3</v>
      </c>
      <c r="L260" t="n">
        <v>4</v>
      </c>
      <c r="M260" t="n">
        <v>5</v>
      </c>
    </row>
    <row r="262">
      <c r="A262" s="13" t="inlineStr">
        <is>
          <t>Lift — 10 equal-exposure buckets</t>
        </is>
      </c>
    </row>
    <row r="263">
      <c r="A263" s="4" t="inlineStr">
        <is>
          <t>Bucket</t>
        </is>
      </c>
      <c r="B263" s="5" t="inlineStr">
        <is>
          <t>Exposure</t>
        </is>
      </c>
      <c r="C263" s="5" t="inlineStr">
        <is>
          <t>Actual</t>
        </is>
      </c>
      <c r="D263" s="5" t="inlineStr">
        <is>
          <t>tabicl pred</t>
        </is>
      </c>
      <c r="E263" s="5" t="inlineStr">
        <is>
          <t>xgb_hurdle pred</t>
        </is>
      </c>
    </row>
    <row r="264">
      <c r="A264" s="6" t="n">
        <v>1</v>
      </c>
      <c r="B264" s="15" t="n">
        <v>7146.1</v>
      </c>
      <c r="C264" s="15" t="n">
        <v>28.64</v>
      </c>
      <c r="D264" s="15" t="n">
        <v>26.18</v>
      </c>
      <c r="E264" s="15" t="n">
        <v>42.43</v>
      </c>
    </row>
    <row r="265">
      <c r="A265" s="6" t="n">
        <v>2</v>
      </c>
      <c r="B265" s="15" t="n">
        <v>7146.1</v>
      </c>
      <c r="C265" s="15" t="n">
        <v>37.5</v>
      </c>
      <c r="D265" s="15" t="n">
        <v>40.78</v>
      </c>
      <c r="E265" s="15" t="n">
        <v>55.62</v>
      </c>
    </row>
    <row r="266">
      <c r="A266" s="6" t="n">
        <v>3</v>
      </c>
      <c r="B266" s="15" t="n">
        <v>7147.5</v>
      </c>
      <c r="C266" s="15" t="n">
        <v>60.69</v>
      </c>
      <c r="D266" s="15" t="n">
        <v>51.91</v>
      </c>
      <c r="E266" s="15" t="n">
        <v>63.54</v>
      </c>
    </row>
    <row r="267">
      <c r="A267" s="6" t="n">
        <v>4</v>
      </c>
      <c r="B267" s="15" t="n">
        <v>7146.2</v>
      </c>
      <c r="C267" s="15" t="n">
        <v>61.02</v>
      </c>
      <c r="D267" s="15" t="n">
        <v>62.91</v>
      </c>
      <c r="E267" s="15" t="n">
        <v>72.92</v>
      </c>
    </row>
    <row r="268">
      <c r="A268" s="6" t="n">
        <v>5</v>
      </c>
      <c r="B268" s="15" t="n">
        <v>7146.2</v>
      </c>
      <c r="C268" s="15" t="n">
        <v>129.28</v>
      </c>
      <c r="D268" s="15" t="n">
        <v>75.66</v>
      </c>
      <c r="E268" s="15" t="n">
        <v>84.11</v>
      </c>
    </row>
    <row r="269">
      <c r="A269" s="6" t="n">
        <v>6</v>
      </c>
      <c r="B269" s="15" t="n">
        <v>7146.5</v>
      </c>
      <c r="C269" s="15" t="n">
        <v>120.69</v>
      </c>
      <c r="D269" s="15" t="n">
        <v>92.23</v>
      </c>
      <c r="E269" s="15" t="n">
        <v>98.72</v>
      </c>
    </row>
    <row r="270">
      <c r="A270" s="6" t="n">
        <v>7</v>
      </c>
      <c r="B270" s="15" t="n">
        <v>7146.7</v>
      </c>
      <c r="C270" s="15" t="n">
        <v>155.94</v>
      </c>
      <c r="D270" s="15" t="n">
        <v>113.26</v>
      </c>
      <c r="E270" s="15" t="n">
        <v>118.44</v>
      </c>
    </row>
    <row r="271">
      <c r="A271" s="6" t="n">
        <v>8</v>
      </c>
      <c r="B271" s="15" t="n">
        <v>7147.1</v>
      </c>
      <c r="C271" s="15" t="n">
        <v>164.78</v>
      </c>
      <c r="D271" s="15" t="n">
        <v>142.61</v>
      </c>
      <c r="E271" s="15" t="n">
        <v>142.54</v>
      </c>
    </row>
    <row r="272">
      <c r="A272" s="6" t="n">
        <v>9</v>
      </c>
      <c r="B272" s="15" t="n">
        <v>7146.3</v>
      </c>
      <c r="C272" s="15" t="n">
        <v>213.96</v>
      </c>
      <c r="D272" s="15" t="n">
        <v>192.99</v>
      </c>
      <c r="E272" s="15" t="n">
        <v>178.55</v>
      </c>
    </row>
    <row r="273">
      <c r="A273" s="6" t="n">
        <v>10</v>
      </c>
      <c r="B273" s="15" t="n">
        <v>7146.8</v>
      </c>
      <c r="C273" s="15" t="n">
        <v>1187.1</v>
      </c>
      <c r="D273" s="15" t="n">
        <v>387.72</v>
      </c>
      <c r="E273" s="15" t="n">
        <v>302.18</v>
      </c>
    </row>
    <row r="283">
      <c r="A283" s="9" t="inlineStr">
        <is>
          <t>N = 542,410</t>
        </is>
      </c>
    </row>
    <row r="284">
      <c r="A284" s="13" t="inlineStr">
        <is>
          <t>Total-loss Gini — 3 draws</t>
        </is>
      </c>
    </row>
    <row r="285">
      <c r="A285" s="4" t="inlineStr">
        <is>
          <t>Draw</t>
        </is>
      </c>
      <c r="B285" s="5" t="inlineStr">
        <is>
          <t>tabicl</t>
        </is>
      </c>
      <c r="C285" s="5" t="inlineStr">
        <is>
          <t>xgb_hurdle</t>
        </is>
      </c>
      <c r="D285" s="5" t="inlineStr">
        <is>
          <t>xgb_tweedie</t>
        </is>
      </c>
      <c r="E285" s="5" t="inlineStr">
        <is>
          <t>glm_hurdle</t>
        </is>
      </c>
      <c r="F285" s="5" t="inlineStr">
        <is>
          <t>glm_tweedie</t>
        </is>
      </c>
      <c r="I285" s="14" t="inlineStr">
        <is>
          <t>tabicl</t>
        </is>
      </c>
      <c r="J285" s="14" t="inlineStr">
        <is>
          <t>xgb_hurdle</t>
        </is>
      </c>
      <c r="K285" s="14" t="inlineStr">
        <is>
          <t>xgb_tweedie</t>
        </is>
      </c>
      <c r="L285" s="14" t="inlineStr">
        <is>
          <t>glm_hurdle</t>
        </is>
      </c>
      <c r="M285" s="14" t="inlineStr">
        <is>
          <t>glm_tweedie</t>
        </is>
      </c>
    </row>
    <row r="286">
      <c r="A286" s="6" t="n">
        <v>1</v>
      </c>
      <c r="B286" s="8" t="n">
        <v>0.4253</v>
      </c>
      <c r="C286" s="8" t="n">
        <v>0.5435</v>
      </c>
      <c r="D286" s="8" t="n">
        <v>0.4692</v>
      </c>
      <c r="E286" s="8" t="n">
        <v>0.2928</v>
      </c>
      <c r="F286" s="8" t="n">
        <v>0.2844</v>
      </c>
      <c r="I286" t="n">
        <v>1</v>
      </c>
      <c r="J286" t="n">
        <v>2</v>
      </c>
      <c r="K286" t="n">
        <v>3</v>
      </c>
      <c r="L286" t="n">
        <v>4</v>
      </c>
      <c r="M286" t="n">
        <v>5</v>
      </c>
    </row>
    <row r="287">
      <c r="A287" s="6" t="n">
        <v>2</v>
      </c>
      <c r="B287" s="8" t="n">
        <v>0.424</v>
      </c>
      <c r="C287" s="8" t="n">
        <v>0.5429</v>
      </c>
      <c r="D287" s="8" t="n">
        <v>0.4591</v>
      </c>
      <c r="E287" s="8" t="n">
        <v>0.2928</v>
      </c>
      <c r="F287" s="8" t="n">
        <v>0.2844</v>
      </c>
      <c r="I287" t="n">
        <v>1</v>
      </c>
      <c r="J287" t="n">
        <v>2</v>
      </c>
      <c r="K287" t="n">
        <v>3</v>
      </c>
      <c r="L287" t="n">
        <v>4</v>
      </c>
      <c r="M287" t="n">
        <v>5</v>
      </c>
    </row>
    <row r="288">
      <c r="A288" s="6" t="n">
        <v>3</v>
      </c>
      <c r="B288" s="8" t="n">
        <v>0.5028</v>
      </c>
      <c r="C288" s="8" t="n">
        <v>0.5415</v>
      </c>
      <c r="D288" s="8" t="n">
        <v>0.4606</v>
      </c>
      <c r="E288" s="8" t="n">
        <v>0.2928</v>
      </c>
      <c r="F288" s="8" t="n">
        <v>0.2844</v>
      </c>
      <c r="I288" t="n">
        <v>1</v>
      </c>
      <c r="J288" t="n">
        <v>2</v>
      </c>
      <c r="K288" t="n">
        <v>3</v>
      </c>
      <c r="L288" t="n">
        <v>4</v>
      </c>
      <c r="M288" t="n">
        <v>5</v>
      </c>
    </row>
    <row r="290">
      <c r="A290" s="13" t="inlineStr">
        <is>
          <t>Lift — 10 equal-exposure buckets</t>
        </is>
      </c>
    </row>
    <row r="291">
      <c r="A291" s="4" t="inlineStr">
        <is>
          <t>Bucket</t>
        </is>
      </c>
      <c r="B291" s="5" t="inlineStr">
        <is>
          <t>Exposure</t>
        </is>
      </c>
      <c r="C291" s="5" t="inlineStr">
        <is>
          <t>Actual</t>
        </is>
      </c>
      <c r="D291" s="5" t="inlineStr">
        <is>
          <t>tabicl pred</t>
        </is>
      </c>
      <c r="E291" s="5" t="inlineStr">
        <is>
          <t>xgb_hurdle pred</t>
        </is>
      </c>
    </row>
    <row r="292">
      <c r="A292" s="6" t="n">
        <v>1</v>
      </c>
      <c r="B292" s="15" t="n">
        <v>7146.4</v>
      </c>
      <c r="C292" s="15" t="n">
        <v>31.63</v>
      </c>
      <c r="D292" s="15" t="n">
        <v>31.45</v>
      </c>
      <c r="E292" s="15" t="n">
        <v>30.35</v>
      </c>
    </row>
    <row r="293">
      <c r="A293" s="6" t="n">
        <v>2</v>
      </c>
      <c r="B293" s="15" t="n">
        <v>7146.1</v>
      </c>
      <c r="C293" s="15" t="n">
        <v>56.26</v>
      </c>
      <c r="D293" s="15" t="n">
        <v>52.38</v>
      </c>
      <c r="E293" s="15" t="n">
        <v>48.89</v>
      </c>
    </row>
    <row r="294">
      <c r="A294" s="6" t="n">
        <v>3</v>
      </c>
      <c r="B294" s="15" t="n">
        <v>7146.2</v>
      </c>
      <c r="C294" s="15" t="n">
        <v>52.39</v>
      </c>
      <c r="D294" s="15" t="n">
        <v>67.59</v>
      </c>
      <c r="E294" s="15" t="n">
        <v>60.22</v>
      </c>
    </row>
    <row r="295">
      <c r="A295" s="6" t="n">
        <v>4</v>
      </c>
      <c r="B295" s="15" t="n">
        <v>7146.7</v>
      </c>
      <c r="C295" s="15" t="n">
        <v>95.92</v>
      </c>
      <c r="D295" s="15" t="n">
        <v>81.90000000000001</v>
      </c>
      <c r="E295" s="15" t="n">
        <v>70.17</v>
      </c>
    </row>
    <row r="296">
      <c r="A296" s="6" t="n">
        <v>5</v>
      </c>
      <c r="B296" s="15" t="n">
        <v>7147.1</v>
      </c>
      <c r="C296" s="15" t="n">
        <v>99.12</v>
      </c>
      <c r="D296" s="15" t="n">
        <v>97.43000000000001</v>
      </c>
      <c r="E296" s="15" t="n">
        <v>80.86</v>
      </c>
    </row>
    <row r="297">
      <c r="A297" s="6" t="n">
        <v>6</v>
      </c>
      <c r="B297" s="15" t="n">
        <v>7146</v>
      </c>
      <c r="C297" s="15" t="n">
        <v>157.2</v>
      </c>
      <c r="D297" s="15" t="n">
        <v>116.74</v>
      </c>
      <c r="E297" s="15" t="n">
        <v>93.67</v>
      </c>
    </row>
    <row r="298">
      <c r="A298" s="6" t="n">
        <v>7</v>
      </c>
      <c r="B298" s="15" t="n">
        <v>7147.4</v>
      </c>
      <c r="C298" s="15" t="n">
        <v>108.81</v>
      </c>
      <c r="D298" s="15" t="n">
        <v>142.58</v>
      </c>
      <c r="E298" s="15" t="n">
        <v>110.92</v>
      </c>
    </row>
    <row r="299">
      <c r="A299" s="6" t="n">
        <v>8</v>
      </c>
      <c r="B299" s="15" t="n">
        <v>7146.1</v>
      </c>
      <c r="C299" s="15" t="n">
        <v>160.41</v>
      </c>
      <c r="D299" s="15" t="n">
        <v>180.4</v>
      </c>
      <c r="E299" s="15" t="n">
        <v>136.53</v>
      </c>
    </row>
    <row r="300">
      <c r="A300" s="6" t="n">
        <v>9</v>
      </c>
      <c r="B300" s="15" t="n">
        <v>7146.4</v>
      </c>
      <c r="C300" s="15" t="n">
        <v>220.3</v>
      </c>
      <c r="D300" s="15" t="n">
        <v>243.34</v>
      </c>
      <c r="E300" s="15" t="n">
        <v>180.52</v>
      </c>
    </row>
    <row r="301">
      <c r="A301" s="6" t="n">
        <v>10</v>
      </c>
      <c r="B301" s="15" t="n">
        <v>7147.1</v>
      </c>
      <c r="C301" s="15" t="n">
        <v>1177.51</v>
      </c>
      <c r="D301" s="15" t="n">
        <v>462.28</v>
      </c>
      <c r="E301" s="15" t="n">
        <v>351.92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75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5" customWidth="1" min="4" max="4"/>
    <col width="15" customWidth="1" min="5" max="5"/>
    <col width="14" customWidth="1" min="6" max="6"/>
    <col width="15" customWidth="1" min="7" max="7"/>
    <col hidden="1" width="16" customWidth="1" min="8" max="8"/>
    <col hidden="1" width="20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</cols>
  <sheetData>
    <row r="1">
      <c r="A1" s="10" t="inlineStr">
        <is>
          <t>Q2 · Does TabICL hold up on a region it never saw?</t>
        </is>
      </c>
    </row>
    <row r="2">
      <c r="A2" s="2" t="inlineStr">
        <is>
          <t>Leave-one-region-out: train on the other 21 regions, test only on the held-out one. Five independent experiments.</t>
        </is>
      </c>
    </row>
    <row r="3">
      <c r="A3" s="2" t="inlineStr">
        <is>
          <t>With TargetEncoder fit on train only, the censored region is an unseen category and Region_te is CONSTANT across its test set — every model loses region signal equally. The question is which recovers most of it from Area, log_density and VehBrand_te.</t>
        </is>
      </c>
    </row>
    <row r="5">
      <c r="A5" s="9" t="inlineStr">
        <is>
          <t>1 · Distribution of regions in the portfolio</t>
        </is>
      </c>
    </row>
    <row r="6">
      <c r="A6" s="2" t="inlineStr">
        <is>
          <t>All 22 regions by size. The five tested are marked. Computed from the cleaned frame — data/region_summary.csv disagrees with it and is not used.</t>
        </is>
      </c>
    </row>
    <row r="8">
      <c r="A8" s="4" t="inlineStr">
        <is>
          <t>Region</t>
        </is>
      </c>
      <c r="B8" s="5" t="inlineStr">
        <is>
          <t>Policies</t>
        </is>
      </c>
      <c r="C8" s="5" t="inlineStr">
        <is>
          <t>Exposure</t>
        </is>
      </c>
      <c r="D8" s="5" t="inlineStr">
        <is>
          <t>Claim rate</t>
        </is>
      </c>
      <c r="E8" s="5" t="inlineStr">
        <is>
          <t>Loss cost</t>
        </is>
      </c>
      <c r="F8" s="5" t="inlineStr">
        <is>
          <t>Share of exposure</t>
        </is>
      </c>
    </row>
    <row r="9">
      <c r="A9" s="6" t="inlineStr">
        <is>
          <t>R24  *tested</t>
        </is>
      </c>
      <c r="B9" s="8" t="n">
        <v>160601</v>
      </c>
      <c r="C9" s="8" t="n">
        <v>102706.4</v>
      </c>
      <c r="D9" s="8" t="n">
        <v>0.039</v>
      </c>
      <c r="E9" s="8" t="n">
        <v>185.7</v>
      </c>
      <c r="F9" s="8" t="n">
        <v>0.2866</v>
      </c>
    </row>
    <row r="10">
      <c r="A10" s="6" t="inlineStr">
        <is>
          <t>R82  *tested</t>
        </is>
      </c>
      <c r="B10" s="8" t="n">
        <v>84752</v>
      </c>
      <c r="C10" s="8" t="n">
        <v>45332.6</v>
      </c>
      <c r="D10" s="8" t="n">
        <v>0.0472</v>
      </c>
      <c r="E10" s="8" t="n">
        <v>226.7</v>
      </c>
      <c r="F10" s="8" t="n">
        <v>0.1265</v>
      </c>
    </row>
    <row r="11">
      <c r="A11" s="6" t="inlineStr">
        <is>
          <t>R93  *tested</t>
        </is>
      </c>
      <c r="B11" s="8" t="n">
        <v>79315</v>
      </c>
      <c r="C11" s="8" t="n">
        <v>35749</v>
      </c>
      <c r="D11" s="8" t="n">
        <v>0.0347</v>
      </c>
      <c r="E11" s="8" t="n">
        <v>192.2</v>
      </c>
      <c r="F11" s="8" t="n">
        <v>0.0998</v>
      </c>
    </row>
    <row r="12">
      <c r="A12" s="6" t="inlineStr">
        <is>
          <t>R11  *tested</t>
        </is>
      </c>
      <c r="B12" s="8" t="n">
        <v>69791</v>
      </c>
      <c r="C12" s="8" t="n">
        <v>30198.1</v>
      </c>
      <c r="D12" s="8" t="n">
        <v>0.0343</v>
      </c>
      <c r="E12" s="8" t="n">
        <v>151.1</v>
      </c>
      <c r="F12" s="8" t="n">
        <v>0.0843</v>
      </c>
    </row>
    <row r="13">
      <c r="A13" s="6" t="inlineStr">
        <is>
          <t>R53</t>
        </is>
      </c>
      <c r="B13" s="8" t="n">
        <v>42122</v>
      </c>
      <c r="C13" s="8" t="n">
        <v>27752.8</v>
      </c>
      <c r="D13" s="8" t="n">
        <v>0.0426</v>
      </c>
      <c r="E13" s="8" t="n">
        <v>140.6</v>
      </c>
      <c r="F13" s="8" t="n">
        <v>0.0774</v>
      </c>
    </row>
    <row r="14">
      <c r="A14" s="6" t="inlineStr">
        <is>
          <t>R52</t>
        </is>
      </c>
      <c r="B14" s="8" t="n">
        <v>38751</v>
      </c>
      <c r="C14" s="8" t="n">
        <v>21930.3</v>
      </c>
      <c r="D14" s="8" t="n">
        <v>0.0387</v>
      </c>
      <c r="E14" s="8" t="n">
        <v>117.2</v>
      </c>
      <c r="F14" s="8" t="n">
        <v>0.0612</v>
      </c>
    </row>
    <row r="15">
      <c r="A15" s="6" t="inlineStr">
        <is>
          <t>R91</t>
        </is>
      </c>
      <c r="B15" s="8" t="n">
        <v>35805</v>
      </c>
      <c r="C15" s="8" t="n">
        <v>14710.6</v>
      </c>
      <c r="D15" s="8" t="n">
        <v>0.0261</v>
      </c>
      <c r="E15" s="8" t="n">
        <v>138.1</v>
      </c>
      <c r="F15" s="8" t="n">
        <v>0.041</v>
      </c>
    </row>
    <row r="16">
      <c r="A16" s="6" t="inlineStr">
        <is>
          <t>R72</t>
        </is>
      </c>
      <c r="B16" s="8" t="n">
        <v>31329</v>
      </c>
      <c r="C16" s="8" t="n">
        <v>14316.2</v>
      </c>
      <c r="D16" s="8" t="n">
        <v>0.0314</v>
      </c>
      <c r="E16" s="8" t="n">
        <v>133.8</v>
      </c>
      <c r="F16" s="8" t="n">
        <v>0.0399</v>
      </c>
    </row>
    <row r="17">
      <c r="A17" s="6" t="inlineStr">
        <is>
          <t>R31</t>
        </is>
      </c>
      <c r="B17" s="8" t="n">
        <v>27285</v>
      </c>
      <c r="C17" s="8" t="n">
        <v>11488.1</v>
      </c>
      <c r="D17" s="8" t="n">
        <v>0.032</v>
      </c>
      <c r="E17" s="8" t="n">
        <v>142.3</v>
      </c>
      <c r="F17" s="8" t="n">
        <v>0.0321</v>
      </c>
    </row>
    <row r="18">
      <c r="A18" s="6" t="inlineStr">
        <is>
          <t>R54</t>
        </is>
      </c>
      <c r="B18" s="8" t="n">
        <v>19046</v>
      </c>
      <c r="C18" s="8" t="n">
        <v>11163</v>
      </c>
      <c r="D18" s="8" t="n">
        <v>0.0402</v>
      </c>
      <c r="E18" s="8" t="n">
        <v>116.9</v>
      </c>
      <c r="F18" s="8" t="n">
        <v>0.0312</v>
      </c>
    </row>
    <row r="19">
      <c r="A19" s="6" t="inlineStr">
        <is>
          <t>R73</t>
        </is>
      </c>
      <c r="B19" s="8" t="n">
        <v>17141</v>
      </c>
      <c r="C19" s="8" t="n">
        <v>7014.4</v>
      </c>
      <c r="D19" s="8" t="n">
        <v>0.0204</v>
      </c>
      <c r="E19" s="8" t="n">
        <v>76.90000000000001</v>
      </c>
      <c r="F19" s="8" t="n">
        <v>0.0196</v>
      </c>
    </row>
    <row r="20">
      <c r="A20" s="6" t="inlineStr">
        <is>
          <t>R41</t>
        </is>
      </c>
      <c r="B20" s="8" t="n">
        <v>12990</v>
      </c>
      <c r="C20" s="8" t="n">
        <v>8112.5</v>
      </c>
      <c r="D20" s="8" t="n">
        <v>0.0348</v>
      </c>
      <c r="E20" s="8" t="n">
        <v>127.5</v>
      </c>
      <c r="F20" s="8" t="n">
        <v>0.0226</v>
      </c>
    </row>
    <row r="21">
      <c r="A21" s="6" t="inlineStr">
        <is>
          <t>R25</t>
        </is>
      </c>
      <c r="B21" s="8" t="n">
        <v>10893</v>
      </c>
      <c r="C21" s="8" t="n">
        <v>6652.7</v>
      </c>
      <c r="D21" s="8" t="n">
        <v>0.0394</v>
      </c>
      <c r="E21" s="8" t="n">
        <v>139.8</v>
      </c>
      <c r="F21" s="8" t="n">
        <v>0.0186</v>
      </c>
    </row>
    <row r="22">
      <c r="A22" s="6" t="inlineStr">
        <is>
          <t>R26</t>
        </is>
      </c>
      <c r="B22" s="8" t="n">
        <v>10492</v>
      </c>
      <c r="C22" s="8" t="n">
        <v>5023</v>
      </c>
      <c r="D22" s="8" t="n">
        <v>0.0313</v>
      </c>
      <c r="E22" s="8" t="n">
        <v>126.7</v>
      </c>
      <c r="F22" s="8" t="n">
        <v>0.014</v>
      </c>
    </row>
    <row r="23">
      <c r="A23" s="6" t="inlineStr">
        <is>
          <t>R23</t>
        </is>
      </c>
      <c r="B23" s="8" t="n">
        <v>8784</v>
      </c>
      <c r="C23" s="8" t="n">
        <v>3176.9</v>
      </c>
      <c r="D23" s="8" t="n">
        <v>0.0238</v>
      </c>
      <c r="E23" s="8" t="n">
        <v>103.1</v>
      </c>
      <c r="F23" s="8" t="n">
        <v>0.0089</v>
      </c>
    </row>
    <row r="24">
      <c r="A24" s="6" t="inlineStr">
        <is>
          <t>R22</t>
        </is>
      </c>
      <c r="B24" s="8" t="n">
        <v>7994</v>
      </c>
      <c r="C24" s="8" t="n">
        <v>3572.8</v>
      </c>
      <c r="D24" s="8" t="n">
        <v>0.0378</v>
      </c>
      <c r="E24" s="8" t="n">
        <v>192.5</v>
      </c>
      <c r="F24" s="8" t="n">
        <v>0.01</v>
      </c>
    </row>
    <row r="25">
      <c r="A25" s="6" t="inlineStr">
        <is>
          <t>R83</t>
        </is>
      </c>
      <c r="B25" s="8" t="n">
        <v>5287</v>
      </c>
      <c r="C25" s="8" t="n">
        <v>2322.3</v>
      </c>
      <c r="D25" s="8" t="n">
        <v>0.0255</v>
      </c>
      <c r="E25" s="8" t="n">
        <v>79.2</v>
      </c>
      <c r="F25" s="8" t="n">
        <v>0.0065</v>
      </c>
    </row>
    <row r="26">
      <c r="A26" s="6" t="inlineStr">
        <is>
          <t>R74</t>
        </is>
      </c>
      <c r="B26" s="8" t="n">
        <v>4567</v>
      </c>
      <c r="C26" s="8" t="n">
        <v>2395.7</v>
      </c>
      <c r="D26" s="8" t="n">
        <v>0.0403</v>
      </c>
      <c r="E26" s="8" t="n">
        <v>117</v>
      </c>
      <c r="F26" s="8" t="n">
        <v>0.0067</v>
      </c>
    </row>
    <row r="27">
      <c r="A27" s="6" t="inlineStr">
        <is>
          <t>R94</t>
        </is>
      </c>
      <c r="B27" s="8" t="n">
        <v>4516</v>
      </c>
      <c r="C27" s="8" t="n">
        <v>1765.9</v>
      </c>
      <c r="D27" s="8" t="n">
        <v>0.0241</v>
      </c>
      <c r="E27" s="8" t="n">
        <v>263.1</v>
      </c>
      <c r="F27" s="8" t="n">
        <v>0.0049</v>
      </c>
    </row>
    <row r="28">
      <c r="A28" s="6" t="inlineStr">
        <is>
          <t>R21</t>
        </is>
      </c>
      <c r="B28" s="8" t="n">
        <v>3026</v>
      </c>
      <c r="C28" s="8" t="n">
        <v>1204.3</v>
      </c>
      <c r="D28" s="8" t="n">
        <v>0.0231</v>
      </c>
      <c r="E28" s="8" t="n">
        <v>399.6</v>
      </c>
      <c r="F28" s="8" t="n">
        <v>0.0034</v>
      </c>
    </row>
    <row r="29">
      <c r="A29" s="6" t="inlineStr">
        <is>
          <t>R42</t>
        </is>
      </c>
      <c r="B29" s="8" t="n">
        <v>2200</v>
      </c>
      <c r="C29" s="8" t="n">
        <v>1208.6</v>
      </c>
      <c r="D29" s="8" t="n">
        <v>0.0377</v>
      </c>
      <c r="E29" s="8" t="n">
        <v>100.5</v>
      </c>
      <c r="F29" s="8" t="n">
        <v>0.0034</v>
      </c>
    </row>
    <row r="30">
      <c r="A30" s="6" t="inlineStr">
        <is>
          <t>R43  *tested</t>
        </is>
      </c>
      <c r="B30" s="8" t="n">
        <v>1326</v>
      </c>
      <c r="C30" s="8" t="n">
        <v>563.8</v>
      </c>
      <c r="D30" s="8" t="n">
        <v>0.0271</v>
      </c>
      <c r="E30" s="8" t="n">
        <v>135.8</v>
      </c>
      <c r="F30" s="8" t="n">
        <v>0.0016</v>
      </c>
    </row>
    <row r="33">
      <c r="A33" s="9" t="inlineStr">
        <is>
          <t>2 · Performance on the censored region</t>
        </is>
      </c>
    </row>
    <row r="34">
      <c r="A34" s="2" t="inlineStr">
        <is>
          <t>Mean over 5 seeds. Best competitor per region in bold blue.</t>
        </is>
      </c>
    </row>
    <row r="36">
      <c r="A36" s="11" t="inlineStr">
        <is>
          <t>Gini on total loss (artifact-free)</t>
        </is>
      </c>
    </row>
    <row r="37">
      <c r="A37" s="4" t="inlineStr">
        <is>
          <t>Model</t>
        </is>
      </c>
      <c r="B37" s="5" t="inlineStr">
        <is>
          <t>R24</t>
        </is>
      </c>
      <c r="C37" s="5" t="inlineStr">
        <is>
          <t>R82</t>
        </is>
      </c>
      <c r="D37" s="5" t="inlineStr">
        <is>
          <t>R93</t>
        </is>
      </c>
      <c r="E37" s="5" t="inlineStr">
        <is>
          <t>R11</t>
        </is>
      </c>
      <c r="F37" s="5" t="inlineStr">
        <is>
          <t>R43</t>
        </is>
      </c>
    </row>
    <row r="38">
      <c r="A38" s="6" t="inlineStr">
        <is>
          <t>tabicl</t>
        </is>
      </c>
      <c r="B38" s="12" t="n">
        <v>0.514</v>
      </c>
      <c r="C38" s="8" t="n">
        <v>0.4562</v>
      </c>
      <c r="D38" s="8" t="n">
        <v>0.3298</v>
      </c>
      <c r="E38" s="8" t="n">
        <v>0.2798</v>
      </c>
      <c r="F38" s="12" t="n">
        <v>0.4238</v>
      </c>
    </row>
    <row r="39">
      <c r="A39" s="6" t="inlineStr">
        <is>
          <t>xgb_hurdle</t>
        </is>
      </c>
      <c r="B39" s="8" t="n">
        <v>0.4937</v>
      </c>
      <c r="C39" s="12" t="n">
        <v>0.4875</v>
      </c>
      <c r="D39" s="12" t="n">
        <v>0.3589</v>
      </c>
      <c r="E39" s="12" t="n">
        <v>0.3313</v>
      </c>
      <c r="F39" s="8" t="n">
        <v>0.4143</v>
      </c>
    </row>
    <row r="40">
      <c r="A40" s="6" t="inlineStr">
        <is>
          <t>xgb_tweedie</t>
        </is>
      </c>
      <c r="B40" s="8" t="n">
        <v>0.4378</v>
      </c>
      <c r="C40" s="8" t="n">
        <v>0.3549</v>
      </c>
      <c r="D40" s="8" t="n">
        <v>0.3406</v>
      </c>
      <c r="E40" s="8" t="n">
        <v>0.2855</v>
      </c>
      <c r="F40" s="8" t="n">
        <v>0.4078</v>
      </c>
    </row>
    <row r="41">
      <c r="A41" s="6" t="inlineStr">
        <is>
          <t>glm_hurdle</t>
        </is>
      </c>
      <c r="B41" s="8" t="n">
        <v>0.207</v>
      </c>
      <c r="C41" s="8" t="n">
        <v>0.348</v>
      </c>
      <c r="D41" s="8" t="n">
        <v>0.3235</v>
      </c>
      <c r="E41" s="8" t="n">
        <v>0.2658</v>
      </c>
      <c r="F41" s="8" t="n">
        <v>0.3874</v>
      </c>
    </row>
    <row r="42">
      <c r="A42" s="6" t="inlineStr">
        <is>
          <t>glm_tweedie</t>
        </is>
      </c>
      <c r="B42" s="8" t="n">
        <v>0.1927</v>
      </c>
      <c r="C42" s="8" t="n">
        <v>0.3605</v>
      </c>
      <c r="D42" s="8" t="n">
        <v>0.3154</v>
      </c>
      <c r="E42" s="8" t="n">
        <v>0.2677</v>
      </c>
      <c r="F42" s="8" t="n">
        <v>0.3407</v>
      </c>
    </row>
    <row r="43">
      <c r="A43" s="6" t="inlineStr">
        <is>
          <t>one_over_exposure</t>
        </is>
      </c>
      <c r="B43" s="8" t="n">
        <v>0</v>
      </c>
      <c r="C43" s="8" t="n">
        <v>-0</v>
      </c>
      <c r="D43" s="8" t="n">
        <v>-0</v>
      </c>
      <c r="E43" s="8" t="n">
        <v>-0</v>
      </c>
      <c r="F43" s="8" t="n">
        <v>0</v>
      </c>
    </row>
    <row r="44">
      <c r="A44" s="6" t="inlineStr">
        <is>
          <t>intercept</t>
        </is>
      </c>
      <c r="B44" s="8" t="n">
        <v>-0.1441</v>
      </c>
      <c r="C44" s="8" t="n">
        <v>0.08550000000000001</v>
      </c>
      <c r="D44" s="8" t="n">
        <v>0.291</v>
      </c>
      <c r="E44" s="8" t="n">
        <v>0.206</v>
      </c>
      <c r="F44" s="8" t="n">
        <v>0.3708</v>
      </c>
    </row>
    <row r="46">
      <c r="A46" s="11" t="inlineStr">
        <is>
          <t>Exposure-weighted Gini (rate)</t>
        </is>
      </c>
    </row>
    <row r="47">
      <c r="A47" s="4" t="inlineStr">
        <is>
          <t>Model</t>
        </is>
      </c>
      <c r="B47" s="5" t="inlineStr">
        <is>
          <t>R24</t>
        </is>
      </c>
      <c r="C47" s="5" t="inlineStr">
        <is>
          <t>R82</t>
        </is>
      </c>
      <c r="D47" s="5" t="inlineStr">
        <is>
          <t>R93</t>
        </is>
      </c>
      <c r="E47" s="5" t="inlineStr">
        <is>
          <t>R11</t>
        </is>
      </c>
      <c r="F47" s="5" t="inlineStr">
        <is>
          <t>R43</t>
        </is>
      </c>
    </row>
    <row r="48">
      <c r="A48" s="6" t="inlineStr">
        <is>
          <t>tabicl</t>
        </is>
      </c>
      <c r="B48" s="12" t="n">
        <v>0.6306</v>
      </c>
      <c r="C48" s="8" t="n">
        <v>0.5531</v>
      </c>
      <c r="D48" s="8" t="n">
        <v>0.249</v>
      </c>
      <c r="E48" s="8" t="n">
        <v>0.2656</v>
      </c>
      <c r="F48" s="12" t="n">
        <v>0.4241</v>
      </c>
    </row>
    <row r="49">
      <c r="A49" s="6" t="inlineStr">
        <is>
          <t>xgb_hurdle</t>
        </is>
      </c>
      <c r="B49" s="8" t="n">
        <v>0.626</v>
      </c>
      <c r="C49" s="12" t="n">
        <v>0.5763</v>
      </c>
      <c r="D49" s="12" t="n">
        <v>0.2687</v>
      </c>
      <c r="E49" s="12" t="n">
        <v>0.3731</v>
      </c>
      <c r="F49" s="8" t="n">
        <v>0.3954</v>
      </c>
    </row>
    <row r="50">
      <c r="A50" s="6" t="inlineStr">
        <is>
          <t>xgb_tweedie</t>
        </is>
      </c>
      <c r="B50" s="8" t="n">
        <v>0.5395</v>
      </c>
      <c r="C50" s="8" t="n">
        <v>0.491</v>
      </c>
      <c r="D50" s="8" t="n">
        <v>0.1942</v>
      </c>
      <c r="E50" s="8" t="n">
        <v>0.2557</v>
      </c>
      <c r="F50" s="8" t="n">
        <v>0.3151</v>
      </c>
    </row>
    <row r="51">
      <c r="A51" s="6" t="inlineStr">
        <is>
          <t>glm_hurdle</t>
        </is>
      </c>
      <c r="B51" s="8" t="n">
        <v>0.584</v>
      </c>
      <c r="C51" s="8" t="n">
        <v>0.4966</v>
      </c>
      <c r="D51" s="8" t="n">
        <v>0.234</v>
      </c>
      <c r="E51" s="8" t="n">
        <v>0.3202</v>
      </c>
      <c r="F51" s="8" t="n">
        <v>0.2763</v>
      </c>
    </row>
    <row r="52">
      <c r="A52" s="6" t="inlineStr">
        <is>
          <t>glm_tweedie</t>
        </is>
      </c>
      <c r="B52" s="8" t="n">
        <v>0.4991</v>
      </c>
      <c r="C52" s="8" t="n">
        <v>0.4272</v>
      </c>
      <c r="D52" s="8" t="n">
        <v>0.1491</v>
      </c>
      <c r="E52" s="8" t="n">
        <v>0.221</v>
      </c>
      <c r="F52" s="8" t="n">
        <v>0.1833</v>
      </c>
    </row>
    <row r="53">
      <c r="A53" s="6" t="inlineStr">
        <is>
          <t>one_over_exposure</t>
        </is>
      </c>
      <c r="B53" s="8" t="n">
        <v>0.5051</v>
      </c>
      <c r="C53" s="8" t="n">
        <v>0.3488</v>
      </c>
      <c r="D53" s="8" t="n">
        <v>0.171</v>
      </c>
      <c r="E53" s="8" t="n">
        <v>0.234</v>
      </c>
      <c r="F53" s="8" t="n">
        <v>0.0367</v>
      </c>
    </row>
    <row r="54">
      <c r="A54" s="6" t="inlineStr">
        <is>
          <t>intercept</t>
        </is>
      </c>
      <c r="B54" s="8" t="n">
        <v>-0</v>
      </c>
      <c r="C54" s="8" t="n">
        <v>-0</v>
      </c>
      <c r="D54" s="8" t="n">
        <v>-0</v>
      </c>
      <c r="E54" s="8" t="n">
        <v>-0</v>
      </c>
      <c r="F54" s="8" t="n">
        <v>0</v>
      </c>
    </row>
    <row r="56">
      <c r="A56" s="11" t="inlineStr">
        <is>
          <t>Gini, full-term policies (exp &gt;= 0.95)</t>
        </is>
      </c>
    </row>
    <row r="57">
      <c r="A57" s="4" t="inlineStr">
        <is>
          <t>Model</t>
        </is>
      </c>
      <c r="B57" s="5" t="inlineStr">
        <is>
          <t>R24</t>
        </is>
      </c>
      <c r="C57" s="5" t="inlineStr">
        <is>
          <t>R82</t>
        </is>
      </c>
      <c r="D57" s="5" t="inlineStr">
        <is>
          <t>R93</t>
        </is>
      </c>
      <c r="E57" s="5" t="inlineStr">
        <is>
          <t>R11</t>
        </is>
      </c>
      <c r="F57" s="5" t="inlineStr">
        <is>
          <t>R43</t>
        </is>
      </c>
    </row>
    <row r="58">
      <c r="A58" s="6" t="inlineStr">
        <is>
          <t>tabicl</t>
        </is>
      </c>
      <c r="B58" s="8" t="n">
        <v>0.4189</v>
      </c>
      <c r="C58" s="12" t="n">
        <v>0.4779</v>
      </c>
      <c r="D58" s="12" t="n">
        <v>0.2234</v>
      </c>
      <c r="E58" s="8" t="n">
        <v>0.2971</v>
      </c>
      <c r="F58" s="12" t="n">
        <v>0.8295</v>
      </c>
    </row>
    <row r="59">
      <c r="A59" s="6" t="inlineStr">
        <is>
          <t>xgb_hurdle</t>
        </is>
      </c>
      <c r="B59" s="12" t="n">
        <v>0.421</v>
      </c>
      <c r="C59" s="8" t="n">
        <v>0.4676</v>
      </c>
      <c r="D59" s="8" t="n">
        <v>0.1663</v>
      </c>
      <c r="E59" s="12" t="n">
        <v>0.4306</v>
      </c>
      <c r="F59" s="8" t="n">
        <v>0.7792</v>
      </c>
    </row>
    <row r="60">
      <c r="A60" s="6" t="inlineStr">
        <is>
          <t>xgb_tweedie</t>
        </is>
      </c>
      <c r="B60" s="8" t="n">
        <v>0.388</v>
      </c>
      <c r="C60" s="8" t="n">
        <v>0.4624</v>
      </c>
      <c r="D60" s="8" t="n">
        <v>0.1477</v>
      </c>
      <c r="E60" s="8" t="n">
        <v>0.416</v>
      </c>
      <c r="F60" s="8" t="n">
        <v>0.8139999999999999</v>
      </c>
    </row>
    <row r="61">
      <c r="A61" s="6" t="inlineStr">
        <is>
          <t>glm_hurdle</t>
        </is>
      </c>
      <c r="B61" s="8" t="n">
        <v>0.3947</v>
      </c>
      <c r="C61" s="8" t="n">
        <v>0.3874</v>
      </c>
      <c r="D61" s="8" t="n">
        <v>0.181</v>
      </c>
      <c r="E61" s="8" t="n">
        <v>0.3785</v>
      </c>
      <c r="F61" s="8" t="n">
        <v>0.5971</v>
      </c>
    </row>
    <row r="62">
      <c r="A62" s="6" t="inlineStr">
        <is>
          <t>glm_tweedie</t>
        </is>
      </c>
      <c r="B62" s="8" t="n">
        <v>0.3774</v>
      </c>
      <c r="C62" s="8" t="n">
        <v>0.3473</v>
      </c>
      <c r="D62" s="8" t="n">
        <v>0.1862</v>
      </c>
      <c r="E62" s="8" t="n">
        <v>0.3376</v>
      </c>
      <c r="F62" s="8" t="n">
        <v>0.3735</v>
      </c>
    </row>
    <row r="63">
      <c r="A63" s="6" t="inlineStr">
        <is>
          <t>one_over_exposure</t>
        </is>
      </c>
      <c r="B63" s="8" t="n">
        <v>0.0511</v>
      </c>
      <c r="C63" s="8" t="n">
        <v>-0.0009</v>
      </c>
      <c r="D63" s="8" t="n">
        <v>-0.0404</v>
      </c>
      <c r="E63" s="8" t="n">
        <v>0.0142</v>
      </c>
      <c r="F63" s="8" t="n">
        <v>-0.1549</v>
      </c>
    </row>
    <row r="64">
      <c r="A64" s="6" t="inlineStr">
        <is>
          <t>intercept</t>
        </is>
      </c>
      <c r="B64" s="8" t="n">
        <v>0</v>
      </c>
      <c r="C64" s="8" t="n">
        <v>0</v>
      </c>
      <c r="D64" s="8" t="n">
        <v>0</v>
      </c>
      <c r="E64" s="8" t="n">
        <v>0</v>
      </c>
      <c r="F64" s="8" t="n">
        <v>-0</v>
      </c>
    </row>
    <row r="66">
      <c r="A66" s="11" t="inlineStr">
        <is>
          <t>Mean Tweedie deviance (p=1.5)</t>
        </is>
      </c>
    </row>
    <row r="67">
      <c r="A67" s="4" t="inlineStr">
        <is>
          <t>Model</t>
        </is>
      </c>
      <c r="B67" s="5" t="inlineStr">
        <is>
          <t>R24</t>
        </is>
      </c>
      <c r="C67" s="5" t="inlineStr">
        <is>
          <t>R82</t>
        </is>
      </c>
      <c r="D67" s="5" t="inlineStr">
        <is>
          <t>R93</t>
        </is>
      </c>
      <c r="E67" s="5" t="inlineStr">
        <is>
          <t>R11</t>
        </is>
      </c>
      <c r="F67" s="5" t="inlineStr">
        <is>
          <t>R43</t>
        </is>
      </c>
    </row>
    <row r="68">
      <c r="A68" s="6" t="inlineStr">
        <is>
          <t>tabicl</t>
        </is>
      </c>
      <c r="B68" s="8" t="n">
        <v>77.0685</v>
      </c>
      <c r="C68" s="12" t="n">
        <v>86.1906</v>
      </c>
      <c r="D68" s="8" t="n">
        <v>93.2222</v>
      </c>
      <c r="E68" s="8" t="n">
        <v>84.1384</v>
      </c>
      <c r="F68" s="8" t="n">
        <v>74.008</v>
      </c>
    </row>
    <row r="69">
      <c r="A69" s="6" t="inlineStr">
        <is>
          <t>xgb_hurdle</t>
        </is>
      </c>
      <c r="B69" s="12" t="n">
        <v>76.6225</v>
      </c>
      <c r="C69" s="8" t="n">
        <v>87.6465</v>
      </c>
      <c r="D69" s="8" t="n">
        <v>93.1259</v>
      </c>
      <c r="E69" s="12" t="n">
        <v>74.7717</v>
      </c>
      <c r="F69" s="12" t="n">
        <v>72.8588</v>
      </c>
    </row>
    <row r="70">
      <c r="A70" s="6" t="inlineStr">
        <is>
          <t>xgb_tweedie</t>
        </is>
      </c>
      <c r="B70" s="8" t="n">
        <v>80.06570000000001</v>
      </c>
      <c r="C70" s="8" t="n">
        <v>92.8574</v>
      </c>
      <c r="D70" s="8" t="n">
        <v>94.2824</v>
      </c>
      <c r="E70" s="8" t="n">
        <v>79.4251</v>
      </c>
      <c r="F70" s="8" t="n">
        <v>75.05240000000001</v>
      </c>
    </row>
    <row r="71">
      <c r="A71" s="6" t="inlineStr">
        <is>
          <t>glm_hurdle</t>
        </is>
      </c>
      <c r="B71" s="8" t="n">
        <v>84.3348</v>
      </c>
      <c r="C71" s="8" t="n">
        <v>92.9229</v>
      </c>
      <c r="D71" s="12" t="n">
        <v>92.6301</v>
      </c>
      <c r="E71" s="8" t="n">
        <v>77.54770000000001</v>
      </c>
      <c r="F71" s="8" t="n">
        <v>77.6704</v>
      </c>
    </row>
    <row r="72">
      <c r="A72" s="6" t="inlineStr">
        <is>
          <t>glm_tweedie</t>
        </is>
      </c>
      <c r="B72" s="8" t="n">
        <v>84.76739999999999</v>
      </c>
      <c r="C72" s="8" t="n">
        <v>92.2796</v>
      </c>
      <c r="D72" s="8" t="n">
        <v>93.81270000000001</v>
      </c>
      <c r="E72" s="8" t="n">
        <v>81.6952</v>
      </c>
      <c r="F72" s="8" t="n">
        <v>82.11750000000001</v>
      </c>
    </row>
    <row r="73">
      <c r="A73" s="6" t="inlineStr">
        <is>
          <t>one_over_exposure</t>
        </is>
      </c>
      <c r="B73" s="8" t="n">
        <v>85.8604</v>
      </c>
      <c r="C73" s="8" t="n">
        <v>97.69289999999999</v>
      </c>
      <c r="D73" s="8" t="n">
        <v>93.8967</v>
      </c>
      <c r="E73" s="8" t="n">
        <v>79.32170000000001</v>
      </c>
      <c r="F73" s="8" t="n">
        <v>82.3651</v>
      </c>
    </row>
    <row r="74">
      <c r="A74" s="6" t="inlineStr">
        <is>
          <t>intercept</t>
        </is>
      </c>
      <c r="B74" s="8" t="n">
        <v>95.0369</v>
      </c>
      <c r="C74" s="8" t="n">
        <v>102.0346</v>
      </c>
      <c r="D74" s="8" t="n">
        <v>92.5635</v>
      </c>
      <c r="E74" s="8" t="n">
        <v>81.0802</v>
      </c>
      <c r="F74" s="8" t="n">
        <v>79.7634</v>
      </c>
    </row>
    <row r="76">
      <c r="A76" s="11" t="inlineStr">
        <is>
          <t>Calibration (predicted / actual)</t>
        </is>
      </c>
    </row>
    <row r="77">
      <c r="A77" s="4" t="inlineStr">
        <is>
          <t>Model</t>
        </is>
      </c>
      <c r="B77" s="5" t="inlineStr">
        <is>
          <t>R24</t>
        </is>
      </c>
      <c r="C77" s="5" t="inlineStr">
        <is>
          <t>R82</t>
        </is>
      </c>
      <c r="D77" s="5" t="inlineStr">
        <is>
          <t>R93</t>
        </is>
      </c>
      <c r="E77" s="5" t="inlineStr">
        <is>
          <t>R11</t>
        </is>
      </c>
      <c r="F77" s="5" t="inlineStr">
        <is>
          <t>R43</t>
        </is>
      </c>
    </row>
    <row r="78">
      <c r="A78" s="6" t="inlineStr">
        <is>
          <t>tabicl</t>
        </is>
      </c>
      <c r="B78" s="8" t="n">
        <v>0.5578</v>
      </c>
      <c r="C78" s="8" t="n">
        <v>0.6833</v>
      </c>
      <c r="D78" s="12" t="n">
        <v>0.8475</v>
      </c>
      <c r="E78" s="8" t="n">
        <v>2.0109</v>
      </c>
      <c r="F78" s="8" t="n">
        <v>1.082</v>
      </c>
    </row>
    <row r="79">
      <c r="A79" s="6" t="inlineStr">
        <is>
          <t>xgb_hurdle</t>
        </is>
      </c>
      <c r="B79" s="8" t="n">
        <v>0.5526</v>
      </c>
      <c r="C79" s="8" t="n">
        <v>0.5431</v>
      </c>
      <c r="D79" s="8" t="n">
        <v>0.6514</v>
      </c>
      <c r="E79" s="12" t="n">
        <v>1.0403</v>
      </c>
      <c r="F79" s="8" t="n">
        <v>0.9221</v>
      </c>
    </row>
    <row r="80">
      <c r="A80" s="6" t="inlineStr">
        <is>
          <t>xgb_tweedie</t>
        </is>
      </c>
      <c r="B80" s="8" t="n">
        <v>0.6213</v>
      </c>
      <c r="C80" s="8" t="n">
        <v>0.5911</v>
      </c>
      <c r="D80" s="8" t="n">
        <v>0.6988</v>
      </c>
      <c r="E80" s="8" t="n">
        <v>1.3463</v>
      </c>
      <c r="F80" s="8" t="n">
        <v>1.0398</v>
      </c>
    </row>
    <row r="81">
      <c r="A81" s="6" t="inlineStr">
        <is>
          <t>glm_hurdle</t>
        </is>
      </c>
      <c r="B81" s="8" t="n">
        <v>0.5805</v>
      </c>
      <c r="C81" s="8" t="n">
        <v>0.5659999999999999</v>
      </c>
      <c r="D81" s="8" t="n">
        <v>0.6889</v>
      </c>
      <c r="E81" s="8" t="n">
        <v>1.2585</v>
      </c>
      <c r="F81" s="12" t="n">
        <v>1.0188</v>
      </c>
    </row>
    <row r="82">
      <c r="A82" s="6" t="inlineStr">
        <is>
          <t>glm_tweedie</t>
        </is>
      </c>
      <c r="B82" s="12" t="n">
        <v>0.7254</v>
      </c>
      <c r="C82" s="12" t="n">
        <v>0.7373</v>
      </c>
      <c r="D82" s="8" t="n">
        <v>0.8269</v>
      </c>
      <c r="E82" s="8" t="n">
        <v>1.6031</v>
      </c>
      <c r="F82" s="8" t="n">
        <v>1.4301</v>
      </c>
    </row>
    <row r="83">
      <c r="A83" s="6" t="inlineStr">
        <is>
          <t>one_over_exposure</t>
        </is>
      </c>
      <c r="B83" s="8" t="n">
        <v>0.6645</v>
      </c>
      <c r="C83" s="8" t="n">
        <v>0.6898</v>
      </c>
      <c r="D83" s="8" t="n">
        <v>1.0226</v>
      </c>
      <c r="E83" s="8" t="n">
        <v>1.3917</v>
      </c>
      <c r="F83" s="8" t="n">
        <v>1.5319</v>
      </c>
    </row>
    <row r="84">
      <c r="A84" s="6" t="inlineStr">
        <is>
          <t>intercept</t>
        </is>
      </c>
      <c r="B84" s="8" t="n">
        <v>0.86</v>
      </c>
      <c r="C84" s="8" t="n">
        <v>0.6993</v>
      </c>
      <c r="D84" s="8" t="n">
        <v>0.8554</v>
      </c>
      <c r="E84" s="8" t="n">
        <v>1.1161</v>
      </c>
      <c r="F84" s="8" t="n">
        <v>1.2318</v>
      </c>
    </row>
    <row r="87">
      <c r="A87" s="9" t="inlineStr">
        <is>
          <t>3 · Head-to-head on the censored region</t>
        </is>
      </c>
    </row>
    <row r="89">
      <c r="A89" s="4" t="inlineStr">
        <is>
          <t>Region</t>
        </is>
      </c>
      <c r="B89" s="5" t="inlineStr">
        <is>
          <t>tabicl Gini</t>
        </is>
      </c>
      <c r="C89" s="5" t="inlineStr">
        <is>
          <t>Best rival</t>
        </is>
      </c>
      <c r="D89" s="5" t="inlineStr">
        <is>
          <t>Rival Gini</t>
        </is>
      </c>
      <c r="E89" s="5" t="inlineStr">
        <is>
          <t>Gap</t>
        </is>
      </c>
      <c r="F89" s="5" t="inlineStr">
        <is>
          <t>z</t>
        </is>
      </c>
      <c r="G89" s="5" t="inlineStr">
        <is>
          <t>tabicl deviance</t>
        </is>
      </c>
      <c r="H89" s="5" t="inlineStr">
        <is>
          <t>Trivial deviance</t>
        </is>
      </c>
      <c r="I89" s="5" t="inlineStr">
        <is>
          <t>Price vs trivial floor</t>
        </is>
      </c>
    </row>
    <row r="90">
      <c r="A90" s="6" t="inlineStr">
        <is>
          <t>R24</t>
        </is>
      </c>
      <c r="B90" s="8" t="n">
        <v>0.514</v>
      </c>
      <c r="C90" s="7" t="inlineStr">
        <is>
          <t>xgb_hurdle</t>
        </is>
      </c>
      <c r="D90" s="8" t="n">
        <v>0.4937</v>
      </c>
      <c r="E90" s="8" t="n">
        <v>0.0202</v>
      </c>
      <c r="F90" s="8" t="n">
        <v>2.99</v>
      </c>
      <c r="G90" s="8" t="n">
        <v>77.0685</v>
      </c>
      <c r="H90" s="8" t="n">
        <v>85.8604</v>
      </c>
      <c r="I90" s="7" t="inlineStr">
        <is>
          <t>clears</t>
        </is>
      </c>
    </row>
    <row r="91">
      <c r="A91" s="6" t="inlineStr">
        <is>
          <t>R82</t>
        </is>
      </c>
      <c r="B91" s="8" t="n">
        <v>0.4562</v>
      </c>
      <c r="C91" s="7" t="inlineStr">
        <is>
          <t>xgb_hurdle</t>
        </is>
      </c>
      <c r="D91" s="8" t="n">
        <v>0.4875</v>
      </c>
      <c r="E91" s="8" t="n">
        <v>-0.0313</v>
      </c>
      <c r="F91" s="8" t="n">
        <v>-1.14</v>
      </c>
      <c r="G91" s="8" t="n">
        <v>86.1906</v>
      </c>
      <c r="H91" s="8" t="n">
        <v>97.69289999999999</v>
      </c>
      <c r="I91" s="7" t="inlineStr">
        <is>
          <t>clears</t>
        </is>
      </c>
    </row>
    <row r="92">
      <c r="A92" s="6" t="inlineStr">
        <is>
          <t>R93</t>
        </is>
      </c>
      <c r="B92" s="8" t="n">
        <v>0.3298</v>
      </c>
      <c r="C92" s="7" t="inlineStr">
        <is>
          <t>xgb_hurdle</t>
        </is>
      </c>
      <c r="D92" s="8" t="n">
        <v>0.3589</v>
      </c>
      <c r="E92" s="8" t="n">
        <v>-0.0291</v>
      </c>
      <c r="F92" s="8" t="n">
        <v>-0.87</v>
      </c>
      <c r="G92" s="8" t="n">
        <v>93.2222</v>
      </c>
      <c r="H92" s="8" t="n">
        <v>93.8967</v>
      </c>
      <c r="I92" s="7" t="inlineStr">
        <is>
          <t>clears</t>
        </is>
      </c>
    </row>
    <row r="93">
      <c r="A93" s="6" t="inlineStr">
        <is>
          <t>R11</t>
        </is>
      </c>
      <c r="B93" s="8" t="n">
        <v>0.2798</v>
      </c>
      <c r="C93" s="7" t="inlineStr">
        <is>
          <t>xgb_hurdle</t>
        </is>
      </c>
      <c r="D93" s="8" t="n">
        <v>0.3313</v>
      </c>
      <c r="E93" s="8" t="n">
        <v>-0.0514</v>
      </c>
      <c r="F93" s="8" t="n">
        <v>-6.39</v>
      </c>
      <c r="G93" s="8" t="n">
        <v>84.1384</v>
      </c>
      <c r="H93" s="8" t="n">
        <v>79.32170000000001</v>
      </c>
      <c r="I93" s="7" t="inlineStr">
        <is>
          <t>BEATEN BY TRIVIAL</t>
        </is>
      </c>
    </row>
    <row r="94">
      <c r="A94" s="6" t="inlineStr">
        <is>
          <t>R43</t>
        </is>
      </c>
      <c r="B94" s="8" t="n">
        <v>0.4238</v>
      </c>
      <c r="C94" s="7" t="inlineStr">
        <is>
          <t>xgb_hurdle</t>
        </is>
      </c>
      <c r="D94" s="8" t="n">
        <v>0.4143</v>
      </c>
      <c r="E94" s="8" t="n">
        <v>0.0095</v>
      </c>
      <c r="F94" s="8" t="n">
        <v>0.39</v>
      </c>
      <c r="G94" s="8" t="n">
        <v>74.008</v>
      </c>
      <c r="H94" s="8" t="n">
        <v>82.3651</v>
      </c>
      <c r="I94" s="7" t="inlineStr">
        <is>
          <t>clears</t>
        </is>
      </c>
    </row>
    <row r="97">
      <c r="A97" s="9" t="inlineStr">
        <is>
          <t>4 · Distribution and lift, per censored region</t>
        </is>
      </c>
    </row>
    <row r="99">
      <c r="A99" s="9" t="inlineStr">
        <is>
          <t>Region R24</t>
        </is>
      </c>
    </row>
    <row r="100">
      <c r="A100" s="13" t="inlineStr">
        <is>
          <t>Total-loss Gini — 5 seeds</t>
        </is>
      </c>
    </row>
    <row r="101">
      <c r="A101" s="4" t="inlineStr">
        <is>
          <t>Seed</t>
        </is>
      </c>
      <c r="B101" s="5" t="inlineStr">
        <is>
          <t>tabicl</t>
        </is>
      </c>
      <c r="C101" s="5" t="inlineStr">
        <is>
          <t>xgb_hurdle</t>
        </is>
      </c>
      <c r="D101" s="5" t="inlineStr">
        <is>
          <t>xgb_tweedie</t>
        </is>
      </c>
      <c r="E101" s="5" t="inlineStr">
        <is>
          <t>glm_hurdle</t>
        </is>
      </c>
      <c r="F101" s="5" t="inlineStr">
        <is>
          <t>glm_tweedie</t>
        </is>
      </c>
      <c r="I101" s="14" t="inlineStr">
        <is>
          <t>tabicl</t>
        </is>
      </c>
      <c r="J101" s="14" t="inlineStr">
        <is>
          <t>xgb_hurdle</t>
        </is>
      </c>
      <c r="K101" s="14" t="inlineStr">
        <is>
          <t>xgb_tweedie</t>
        </is>
      </c>
      <c r="L101" s="14" t="inlineStr">
        <is>
          <t>glm_hurdle</t>
        </is>
      </c>
      <c r="M101" s="14" t="inlineStr">
        <is>
          <t>glm_tweedie</t>
        </is>
      </c>
    </row>
    <row r="102">
      <c r="A102" s="6" t="n">
        <v>1</v>
      </c>
      <c r="B102" s="8" t="n">
        <v>0.5368000000000001</v>
      </c>
      <c r="C102" s="8" t="n">
        <v>0.4944</v>
      </c>
      <c r="D102" s="8" t="n">
        <v>0.4408</v>
      </c>
      <c r="E102" s="8" t="n">
        <v>0.207</v>
      </c>
      <c r="F102" s="8" t="n">
        <v>0.1927</v>
      </c>
      <c r="I102" t="n">
        <v>1</v>
      </c>
      <c r="J102" t="n">
        <v>2</v>
      </c>
      <c r="K102" t="n">
        <v>3</v>
      </c>
      <c r="L102" t="n">
        <v>4</v>
      </c>
      <c r="M102" t="n">
        <v>5</v>
      </c>
    </row>
    <row r="103">
      <c r="A103" s="6" t="n">
        <v>2</v>
      </c>
      <c r="B103" s="8" t="n">
        <v>0.4969</v>
      </c>
      <c r="C103" s="8" t="n">
        <v>0.4915</v>
      </c>
      <c r="D103" s="8" t="n">
        <v>0.4341</v>
      </c>
      <c r="E103" s="7" t="n"/>
      <c r="F103" s="7" t="n"/>
      <c r="I103" t="n">
        <v>1</v>
      </c>
      <c r="J103" t="n">
        <v>2</v>
      </c>
      <c r="K103" t="n">
        <v>3</v>
      </c>
      <c r="L103" t="n">
        <v>4</v>
      </c>
      <c r="M103" t="n">
        <v>5</v>
      </c>
    </row>
    <row r="104">
      <c r="A104" s="6" t="n">
        <v>3</v>
      </c>
      <c r="B104" s="8" t="n">
        <v>0.5193</v>
      </c>
      <c r="C104" s="8" t="n">
        <v>0.4956</v>
      </c>
      <c r="D104" s="8" t="n">
        <v>0.4374</v>
      </c>
      <c r="E104" s="7" t="n"/>
      <c r="F104" s="7" t="n"/>
      <c r="I104" t="n">
        <v>1</v>
      </c>
      <c r="J104" t="n">
        <v>2</v>
      </c>
      <c r="K104" t="n">
        <v>3</v>
      </c>
      <c r="L104" t="n">
        <v>4</v>
      </c>
      <c r="M104" t="n">
        <v>5</v>
      </c>
    </row>
    <row r="105">
      <c r="A105" s="6" t="n">
        <v>4</v>
      </c>
      <c r="B105" s="8" t="n">
        <v>0.5085</v>
      </c>
      <c r="C105" s="8" t="n">
        <v>0.4925</v>
      </c>
      <c r="D105" s="8" t="n">
        <v>0.4387</v>
      </c>
      <c r="E105" s="7" t="n"/>
      <c r="F105" s="7" t="n"/>
      <c r="I105" t="n">
        <v>1</v>
      </c>
      <c r="J105" t="n">
        <v>2</v>
      </c>
      <c r="K105" t="n">
        <v>3</v>
      </c>
      <c r="L105" t="n">
        <v>4</v>
      </c>
      <c r="M105" t="n">
        <v>5</v>
      </c>
    </row>
    <row r="106">
      <c r="A106" s="6" t="n">
        <v>5</v>
      </c>
      <c r="B106" s="8" t="n">
        <v>0.5083</v>
      </c>
      <c r="C106" s="8" t="n">
        <v>0.4946</v>
      </c>
      <c r="D106" s="8" t="n">
        <v>0.4379</v>
      </c>
      <c r="E106" s="7" t="n"/>
      <c r="F106" s="7" t="n"/>
      <c r="I106" t="n">
        <v>1</v>
      </c>
      <c r="J106" t="n">
        <v>2</v>
      </c>
      <c r="K106" t="n">
        <v>3</v>
      </c>
      <c r="L106" t="n">
        <v>4</v>
      </c>
      <c r="M106" t="n">
        <v>5</v>
      </c>
    </row>
    <row r="108">
      <c r="A108" s="13" t="inlineStr">
        <is>
          <t>Lift — 10 equal-exposure buckets</t>
        </is>
      </c>
    </row>
    <row r="109">
      <c r="A109" s="4" t="inlineStr">
        <is>
          <t>Bucket</t>
        </is>
      </c>
      <c r="B109" s="5" t="inlineStr">
        <is>
          <t>Exposure</t>
        </is>
      </c>
      <c r="C109" s="5" t="inlineStr">
        <is>
          <t>Actual</t>
        </is>
      </c>
      <c r="D109" s="5" t="inlineStr">
        <is>
          <t>tabicl pred</t>
        </is>
      </c>
      <c r="E109" s="5" t="inlineStr">
        <is>
          <t>xgb_hurdle pred</t>
        </is>
      </c>
    </row>
    <row r="110">
      <c r="A110" s="6" t="n">
        <v>1</v>
      </c>
      <c r="B110" s="15" t="n">
        <v>10269.9</v>
      </c>
      <c r="C110" s="15" t="n">
        <v>15.3</v>
      </c>
      <c r="D110" s="15" t="n">
        <v>25.66</v>
      </c>
      <c r="E110" s="15" t="n">
        <v>33.65</v>
      </c>
    </row>
    <row r="111">
      <c r="A111" s="6" t="n">
        <v>2</v>
      </c>
      <c r="B111" s="15" t="n">
        <v>10270.9</v>
      </c>
      <c r="C111" s="15" t="n">
        <v>27.48</v>
      </c>
      <c r="D111" s="15" t="n">
        <v>37.08</v>
      </c>
      <c r="E111" s="15" t="n">
        <v>48.65</v>
      </c>
    </row>
    <row r="112">
      <c r="A112" s="6" t="n">
        <v>3</v>
      </c>
      <c r="B112" s="15" t="n">
        <v>10271.1</v>
      </c>
      <c r="C112" s="15" t="n">
        <v>54.8</v>
      </c>
      <c r="D112" s="15" t="n">
        <v>44.44</v>
      </c>
      <c r="E112" s="15" t="n">
        <v>58.56</v>
      </c>
    </row>
    <row r="113">
      <c r="A113" s="6" t="n">
        <v>4</v>
      </c>
      <c r="B113" s="15" t="n">
        <v>10270.5</v>
      </c>
      <c r="C113" s="15" t="n">
        <v>56.26</v>
      </c>
      <c r="D113" s="15" t="n">
        <v>50.48</v>
      </c>
      <c r="E113" s="15" t="n">
        <v>65.36</v>
      </c>
    </row>
    <row r="114">
      <c r="A114" s="6" t="n">
        <v>5</v>
      </c>
      <c r="B114" s="15" t="n">
        <v>10270.8</v>
      </c>
      <c r="C114" s="15" t="n">
        <v>48.56</v>
      </c>
      <c r="D114" s="15" t="n">
        <v>57.32</v>
      </c>
      <c r="E114" s="15" t="n">
        <v>71.47</v>
      </c>
    </row>
    <row r="115">
      <c r="A115" s="6" t="n">
        <v>6</v>
      </c>
      <c r="B115" s="15" t="n">
        <v>10270.2</v>
      </c>
      <c r="C115" s="15" t="n">
        <v>121.87</v>
      </c>
      <c r="D115" s="15" t="n">
        <v>68.69</v>
      </c>
      <c r="E115" s="15" t="n">
        <v>79.08</v>
      </c>
    </row>
    <row r="116">
      <c r="A116" s="6" t="n">
        <v>7</v>
      </c>
      <c r="B116" s="15" t="n">
        <v>10270.7</v>
      </c>
      <c r="C116" s="15" t="n">
        <v>137.58</v>
      </c>
      <c r="D116" s="15" t="n">
        <v>89.8</v>
      </c>
      <c r="E116" s="15" t="n">
        <v>92.34999999999999</v>
      </c>
    </row>
    <row r="117">
      <c r="A117" s="6" t="n">
        <v>8</v>
      </c>
      <c r="B117" s="15" t="n">
        <v>10270.8</v>
      </c>
      <c r="C117" s="15" t="n">
        <v>139.29</v>
      </c>
      <c r="D117" s="15" t="n">
        <v>122.01</v>
      </c>
      <c r="E117" s="15" t="n">
        <v>114.65</v>
      </c>
    </row>
    <row r="118">
      <c r="A118" s="6" t="n">
        <v>9</v>
      </c>
      <c r="B118" s="15" t="n">
        <v>10270.6</v>
      </c>
      <c r="C118" s="15" t="n">
        <v>197.79</v>
      </c>
      <c r="D118" s="15" t="n">
        <v>174.03</v>
      </c>
      <c r="E118" s="15" t="n">
        <v>155.54</v>
      </c>
    </row>
    <row r="119">
      <c r="A119" s="6" t="n">
        <v>10</v>
      </c>
      <c r="B119" s="15" t="n">
        <v>10271.1</v>
      </c>
      <c r="C119" s="15" t="n">
        <v>1058.24</v>
      </c>
      <c r="D119" s="15" t="n">
        <v>366.52</v>
      </c>
      <c r="E119" s="15" t="n">
        <v>306.97</v>
      </c>
    </row>
    <row r="138">
      <c r="A138" s="9" t="inlineStr">
        <is>
          <t>Region R82</t>
        </is>
      </c>
    </row>
    <row r="139">
      <c r="A139" s="13" t="inlineStr">
        <is>
          <t>Total-loss Gini — 5 seeds</t>
        </is>
      </c>
    </row>
    <row r="140">
      <c r="A140" s="4" t="inlineStr">
        <is>
          <t>Seed</t>
        </is>
      </c>
      <c r="B140" s="5" t="inlineStr">
        <is>
          <t>tabicl</t>
        </is>
      </c>
      <c r="C140" s="5" t="inlineStr">
        <is>
          <t>xgb_hurdle</t>
        </is>
      </c>
      <c r="D140" s="5" t="inlineStr">
        <is>
          <t>xgb_tweedie</t>
        </is>
      </c>
      <c r="E140" s="5" t="inlineStr">
        <is>
          <t>glm_hurdle</t>
        </is>
      </c>
      <c r="F140" s="5" t="inlineStr">
        <is>
          <t>glm_tweedie</t>
        </is>
      </c>
      <c r="I140" s="14" t="inlineStr">
        <is>
          <t>tabicl</t>
        </is>
      </c>
      <c r="J140" s="14" t="inlineStr">
        <is>
          <t>xgb_hurdle</t>
        </is>
      </c>
      <c r="K140" s="14" t="inlineStr">
        <is>
          <t>xgb_tweedie</t>
        </is>
      </c>
      <c r="L140" s="14" t="inlineStr">
        <is>
          <t>glm_hurdle</t>
        </is>
      </c>
      <c r="M140" s="14" t="inlineStr">
        <is>
          <t>glm_tweedie</t>
        </is>
      </c>
    </row>
    <row r="141">
      <c r="A141" s="6" t="n">
        <v>1</v>
      </c>
      <c r="B141" s="8" t="n">
        <v>0.3485</v>
      </c>
      <c r="C141" s="8" t="n">
        <v>0.4829</v>
      </c>
      <c r="D141" s="8" t="n">
        <v>0.3504</v>
      </c>
      <c r="E141" s="8" t="n">
        <v>0.348</v>
      </c>
      <c r="F141" s="8" t="n">
        <v>0.3605</v>
      </c>
      <c r="I141" t="n">
        <v>1</v>
      </c>
      <c r="J141" t="n">
        <v>2</v>
      </c>
      <c r="K141" t="n">
        <v>3</v>
      </c>
      <c r="L141" t="n">
        <v>4</v>
      </c>
      <c r="M141" t="n">
        <v>5</v>
      </c>
    </row>
    <row r="142">
      <c r="A142" s="6" t="n">
        <v>2</v>
      </c>
      <c r="B142" s="8" t="n">
        <v>0.4975</v>
      </c>
      <c r="C142" s="8" t="n">
        <v>0.4882</v>
      </c>
      <c r="D142" s="8" t="n">
        <v>0.3479</v>
      </c>
      <c r="E142" s="7" t="n"/>
      <c r="F142" s="7" t="n"/>
      <c r="I142" t="n">
        <v>1</v>
      </c>
      <c r="J142" t="n">
        <v>2</v>
      </c>
      <c r="K142" t="n">
        <v>3</v>
      </c>
      <c r="L142" t="n">
        <v>4</v>
      </c>
      <c r="M142" t="n">
        <v>5</v>
      </c>
    </row>
    <row r="143">
      <c r="A143" s="6" t="n">
        <v>3</v>
      </c>
      <c r="B143" s="8" t="n">
        <v>0.478</v>
      </c>
      <c r="C143" s="8" t="n">
        <v>0.4893</v>
      </c>
      <c r="D143" s="8" t="n">
        <v>0.3278</v>
      </c>
      <c r="E143" s="7" t="n"/>
      <c r="F143" s="7" t="n"/>
      <c r="I143" t="n">
        <v>1</v>
      </c>
      <c r="J143" t="n">
        <v>2</v>
      </c>
      <c r="K143" t="n">
        <v>3</v>
      </c>
      <c r="L143" t="n">
        <v>4</v>
      </c>
      <c r="M143" t="n">
        <v>5</v>
      </c>
    </row>
    <row r="144">
      <c r="A144" s="6" t="n">
        <v>4</v>
      </c>
      <c r="B144" s="8" t="n">
        <v>0.4654</v>
      </c>
      <c r="C144" s="8" t="n">
        <v>0.4857</v>
      </c>
      <c r="D144" s="8" t="n">
        <v>0.3764</v>
      </c>
      <c r="E144" s="7" t="n"/>
      <c r="F144" s="7" t="n"/>
      <c r="I144" t="n">
        <v>1</v>
      </c>
      <c r="J144" t="n">
        <v>2</v>
      </c>
      <c r="K144" t="n">
        <v>3</v>
      </c>
      <c r="L144" t="n">
        <v>4</v>
      </c>
      <c r="M144" t="n">
        <v>5</v>
      </c>
    </row>
    <row r="145">
      <c r="A145" s="6" t="n">
        <v>5</v>
      </c>
      <c r="B145" s="8" t="n">
        <v>0.4914</v>
      </c>
      <c r="C145" s="8" t="n">
        <v>0.4915</v>
      </c>
      <c r="D145" s="8" t="n">
        <v>0.3718</v>
      </c>
      <c r="E145" s="7" t="n"/>
      <c r="F145" s="7" t="n"/>
      <c r="I145" t="n">
        <v>1</v>
      </c>
      <c r="J145" t="n">
        <v>2</v>
      </c>
      <c r="K145" t="n">
        <v>3</v>
      </c>
      <c r="L145" t="n">
        <v>4</v>
      </c>
      <c r="M145" t="n">
        <v>5</v>
      </c>
    </row>
    <row r="147">
      <c r="A147" s="13" t="inlineStr">
        <is>
          <t>Lift — 10 equal-exposure buckets</t>
        </is>
      </c>
    </row>
    <row r="148">
      <c r="A148" s="4" t="inlineStr">
        <is>
          <t>Bucket</t>
        </is>
      </c>
      <c r="B148" s="5" t="inlineStr">
        <is>
          <t>Exposure</t>
        </is>
      </c>
      <c r="C148" s="5" t="inlineStr">
        <is>
          <t>Actual</t>
        </is>
      </c>
      <c r="D148" s="5" t="inlineStr">
        <is>
          <t>tabicl pred</t>
        </is>
      </c>
      <c r="E148" s="5" t="inlineStr">
        <is>
          <t>xgb_hurdle pred</t>
        </is>
      </c>
    </row>
    <row r="149">
      <c r="A149" s="6" t="n">
        <v>1</v>
      </c>
      <c r="B149" s="15" t="n">
        <v>4532.3</v>
      </c>
      <c r="C149" s="15" t="n">
        <v>27.36</v>
      </c>
      <c r="D149" s="15" t="n">
        <v>35.05</v>
      </c>
      <c r="E149" s="15" t="n">
        <v>45.03</v>
      </c>
    </row>
    <row r="150">
      <c r="A150" s="6" t="n">
        <v>2</v>
      </c>
      <c r="B150" s="15" t="n">
        <v>4534</v>
      </c>
      <c r="C150" s="15" t="n">
        <v>48.27</v>
      </c>
      <c r="D150" s="15" t="n">
        <v>54.34</v>
      </c>
      <c r="E150" s="15" t="n">
        <v>59.31</v>
      </c>
    </row>
    <row r="151">
      <c r="A151" s="6" t="n">
        <v>3</v>
      </c>
      <c r="B151" s="15" t="n">
        <v>4533.2</v>
      </c>
      <c r="C151" s="15" t="n">
        <v>64.22</v>
      </c>
      <c r="D151" s="15" t="n">
        <v>69.31</v>
      </c>
      <c r="E151" s="15" t="n">
        <v>67.26000000000001</v>
      </c>
    </row>
    <row r="152">
      <c r="A152" s="6" t="n">
        <v>4</v>
      </c>
      <c r="B152" s="15" t="n">
        <v>4532.9</v>
      </c>
      <c r="C152" s="15" t="n">
        <v>93.45999999999999</v>
      </c>
      <c r="D152" s="15" t="n">
        <v>84.06</v>
      </c>
      <c r="E152" s="15" t="n">
        <v>75.3</v>
      </c>
    </row>
    <row r="153">
      <c r="A153" s="6" t="n">
        <v>5</v>
      </c>
      <c r="B153" s="15" t="n">
        <v>4533.6</v>
      </c>
      <c r="C153" s="15" t="n">
        <v>86.94</v>
      </c>
      <c r="D153" s="15" t="n">
        <v>101.09</v>
      </c>
      <c r="E153" s="15" t="n">
        <v>84.52</v>
      </c>
    </row>
    <row r="154">
      <c r="A154" s="6" t="n">
        <v>6</v>
      </c>
      <c r="B154" s="15" t="n">
        <v>4533.6</v>
      </c>
      <c r="C154" s="15" t="n">
        <v>113.08</v>
      </c>
      <c r="D154" s="15" t="n">
        <v>122.45</v>
      </c>
      <c r="E154" s="15" t="n">
        <v>98.23999999999999</v>
      </c>
    </row>
    <row r="155">
      <c r="A155" s="6" t="n">
        <v>7</v>
      </c>
      <c r="B155" s="15" t="n">
        <v>4532.6</v>
      </c>
      <c r="C155" s="15" t="n">
        <v>134.37</v>
      </c>
      <c r="D155" s="15" t="n">
        <v>149.59</v>
      </c>
      <c r="E155" s="15" t="n">
        <v>116.61</v>
      </c>
    </row>
    <row r="156">
      <c r="A156" s="6" t="n">
        <v>8</v>
      </c>
      <c r="B156" s="15" t="n">
        <v>4533.4</v>
      </c>
      <c r="C156" s="15" t="n">
        <v>312.62</v>
      </c>
      <c r="D156" s="15" t="n">
        <v>188.25</v>
      </c>
      <c r="E156" s="15" t="n">
        <v>142.14</v>
      </c>
    </row>
    <row r="157">
      <c r="A157" s="6" t="n">
        <v>9</v>
      </c>
      <c r="B157" s="15" t="n">
        <v>4533.1</v>
      </c>
      <c r="C157" s="15" t="n">
        <v>250</v>
      </c>
      <c r="D157" s="15" t="n">
        <v>251</v>
      </c>
      <c r="E157" s="15" t="n">
        <v>184.7</v>
      </c>
    </row>
    <row r="158">
      <c r="A158" s="6" t="n">
        <v>10</v>
      </c>
      <c r="B158" s="15" t="n">
        <v>4534</v>
      </c>
      <c r="C158" s="15" t="n">
        <v>1136.81</v>
      </c>
      <c r="D158" s="15" t="n">
        <v>494.03</v>
      </c>
      <c r="E158" s="15" t="n">
        <v>358.23</v>
      </c>
    </row>
    <row r="177">
      <c r="A177" s="9" t="inlineStr">
        <is>
          <t>Region R93</t>
        </is>
      </c>
    </row>
    <row r="178">
      <c r="A178" s="13" t="inlineStr">
        <is>
          <t>Total-loss Gini — 5 seeds</t>
        </is>
      </c>
    </row>
    <row r="179">
      <c r="A179" s="4" t="inlineStr">
        <is>
          <t>Seed</t>
        </is>
      </c>
      <c r="B179" s="5" t="inlineStr">
        <is>
          <t>tabicl</t>
        </is>
      </c>
      <c r="C179" s="5" t="inlineStr">
        <is>
          <t>xgb_hurdle</t>
        </is>
      </c>
      <c r="D179" s="5" t="inlineStr">
        <is>
          <t>xgb_tweedie</t>
        </is>
      </c>
      <c r="E179" s="5" t="inlineStr">
        <is>
          <t>glm_hurdle</t>
        </is>
      </c>
      <c r="F179" s="5" t="inlineStr">
        <is>
          <t>glm_tweedie</t>
        </is>
      </c>
      <c r="I179" s="14" t="inlineStr">
        <is>
          <t>tabicl</t>
        </is>
      </c>
      <c r="J179" s="14" t="inlineStr">
        <is>
          <t>xgb_hurdle</t>
        </is>
      </c>
      <c r="K179" s="14" t="inlineStr">
        <is>
          <t>xgb_tweedie</t>
        </is>
      </c>
      <c r="L179" s="14" t="inlineStr">
        <is>
          <t>glm_hurdle</t>
        </is>
      </c>
      <c r="M179" s="14" t="inlineStr">
        <is>
          <t>glm_tweedie</t>
        </is>
      </c>
    </row>
    <row r="180">
      <c r="A180" s="6" t="n">
        <v>1</v>
      </c>
      <c r="B180" s="8" t="n">
        <v>0.2029</v>
      </c>
      <c r="C180" s="8" t="n">
        <v>0.3595</v>
      </c>
      <c r="D180" s="8" t="n">
        <v>0.3454</v>
      </c>
      <c r="E180" s="8" t="n">
        <v>0.3235</v>
      </c>
      <c r="F180" s="8" t="n">
        <v>0.3154</v>
      </c>
      <c r="I180" t="n">
        <v>1</v>
      </c>
      <c r="J180" t="n">
        <v>2</v>
      </c>
      <c r="K180" t="n">
        <v>3</v>
      </c>
      <c r="L180" t="n">
        <v>4</v>
      </c>
      <c r="M180" t="n">
        <v>5</v>
      </c>
    </row>
    <row r="181">
      <c r="A181" s="6" t="n">
        <v>2</v>
      </c>
      <c r="B181" s="8" t="n">
        <v>0.3512</v>
      </c>
      <c r="C181" s="8" t="n">
        <v>0.3492</v>
      </c>
      <c r="D181" s="8" t="n">
        <v>0.3459</v>
      </c>
      <c r="E181" s="7" t="n"/>
      <c r="F181" s="7" t="n"/>
      <c r="I181" t="n">
        <v>1</v>
      </c>
      <c r="J181" t="n">
        <v>2</v>
      </c>
      <c r="K181" t="n">
        <v>3</v>
      </c>
      <c r="L181" t="n">
        <v>4</v>
      </c>
      <c r="M181" t="n">
        <v>5</v>
      </c>
    </row>
    <row r="182">
      <c r="A182" s="6" t="n">
        <v>3</v>
      </c>
      <c r="B182" s="8" t="n">
        <v>0.3939</v>
      </c>
      <c r="C182" s="8" t="n">
        <v>0.3669</v>
      </c>
      <c r="D182" s="8" t="n">
        <v>0.3353</v>
      </c>
      <c r="E182" s="7" t="n"/>
      <c r="F182" s="7" t="n"/>
      <c r="I182" t="n">
        <v>1</v>
      </c>
      <c r="J182" t="n">
        <v>2</v>
      </c>
      <c r="K182" t="n">
        <v>3</v>
      </c>
      <c r="L182" t="n">
        <v>4</v>
      </c>
      <c r="M182" t="n">
        <v>5</v>
      </c>
    </row>
    <row r="183">
      <c r="A183" s="6" t="n">
        <v>4</v>
      </c>
      <c r="B183" s="8" t="n">
        <v>0.3324</v>
      </c>
      <c r="C183" s="8" t="n">
        <v>0.3604</v>
      </c>
      <c r="D183" s="8" t="n">
        <v>0.3384</v>
      </c>
      <c r="E183" s="7" t="n"/>
      <c r="F183" s="7" t="n"/>
      <c r="I183" t="n">
        <v>1</v>
      </c>
      <c r="J183" t="n">
        <v>2</v>
      </c>
      <c r="K183" t="n">
        <v>3</v>
      </c>
      <c r="L183" t="n">
        <v>4</v>
      </c>
      <c r="M183" t="n">
        <v>5</v>
      </c>
    </row>
    <row r="184">
      <c r="A184" s="6" t="n">
        <v>5</v>
      </c>
      <c r="B184" s="8" t="n">
        <v>0.3686</v>
      </c>
      <c r="C184" s="8" t="n">
        <v>0.3585</v>
      </c>
      <c r="D184" s="8" t="n">
        <v>0.3381</v>
      </c>
      <c r="E184" s="7" t="n"/>
      <c r="F184" s="7" t="n"/>
      <c r="I184" t="n">
        <v>1</v>
      </c>
      <c r="J184" t="n">
        <v>2</v>
      </c>
      <c r="K184" t="n">
        <v>3</v>
      </c>
      <c r="L184" t="n">
        <v>4</v>
      </c>
      <c r="M184" t="n">
        <v>5</v>
      </c>
    </row>
    <row r="186">
      <c r="A186" s="13" t="inlineStr">
        <is>
          <t>Lift — 10 equal-exposure buckets</t>
        </is>
      </c>
    </row>
    <row r="187">
      <c r="A187" s="4" t="inlineStr">
        <is>
          <t>Bucket</t>
        </is>
      </c>
      <c r="B187" s="5" t="inlineStr">
        <is>
          <t>Exposure</t>
        </is>
      </c>
      <c r="C187" s="5" t="inlineStr">
        <is>
          <t>Actual</t>
        </is>
      </c>
      <c r="D187" s="5" t="inlineStr">
        <is>
          <t>tabicl pred</t>
        </is>
      </c>
      <c r="E187" s="5" t="inlineStr">
        <is>
          <t>xgb_hurdle pred</t>
        </is>
      </c>
    </row>
    <row r="188">
      <c r="A188" s="6" t="n">
        <v>1</v>
      </c>
      <c r="B188" s="15" t="n">
        <v>3574.2</v>
      </c>
      <c r="C188" s="15" t="n">
        <v>67.42</v>
      </c>
      <c r="D188" s="15" t="n">
        <v>43.27</v>
      </c>
      <c r="E188" s="15" t="n">
        <v>38.71</v>
      </c>
    </row>
    <row r="189">
      <c r="A189" s="6" t="n">
        <v>2</v>
      </c>
      <c r="B189" s="15" t="n">
        <v>3574.7</v>
      </c>
      <c r="C189" s="15" t="n">
        <v>129.17</v>
      </c>
      <c r="D189" s="15" t="n">
        <v>65.51000000000001</v>
      </c>
      <c r="E189" s="15" t="n">
        <v>58.24</v>
      </c>
    </row>
    <row r="190">
      <c r="A190" s="6" t="n">
        <v>3</v>
      </c>
      <c r="B190" s="15" t="n">
        <v>3575</v>
      </c>
      <c r="C190" s="15" t="n">
        <v>120.9</v>
      </c>
      <c r="D190" s="15" t="n">
        <v>81.92</v>
      </c>
      <c r="E190" s="15" t="n">
        <v>69.81</v>
      </c>
    </row>
    <row r="191">
      <c r="A191" s="6" t="n">
        <v>4</v>
      </c>
      <c r="B191" s="15" t="n">
        <v>3575.4</v>
      </c>
      <c r="C191" s="15" t="n">
        <v>108.98</v>
      </c>
      <c r="D191" s="15" t="n">
        <v>97.93000000000001</v>
      </c>
      <c r="E191" s="15" t="n">
        <v>80.31999999999999</v>
      </c>
    </row>
    <row r="192">
      <c r="A192" s="6" t="n">
        <v>5</v>
      </c>
      <c r="B192" s="15" t="n">
        <v>3574.8</v>
      </c>
      <c r="C192" s="15" t="n">
        <v>168.39</v>
      </c>
      <c r="D192" s="15" t="n">
        <v>115.7</v>
      </c>
      <c r="E192" s="15" t="n">
        <v>91.58</v>
      </c>
    </row>
    <row r="193">
      <c r="A193" s="6" t="n">
        <v>6</v>
      </c>
      <c r="B193" s="15" t="n">
        <v>3574.7</v>
      </c>
      <c r="C193" s="15" t="n">
        <v>121.91</v>
      </c>
      <c r="D193" s="15" t="n">
        <v>136.45</v>
      </c>
      <c r="E193" s="15" t="n">
        <v>105.05</v>
      </c>
    </row>
    <row r="194">
      <c r="A194" s="6" t="n">
        <v>7</v>
      </c>
      <c r="B194" s="15" t="n">
        <v>3574.9</v>
      </c>
      <c r="C194" s="15" t="n">
        <v>257.39</v>
      </c>
      <c r="D194" s="15" t="n">
        <v>162.28</v>
      </c>
      <c r="E194" s="15" t="n">
        <v>122.3</v>
      </c>
    </row>
    <row r="195">
      <c r="A195" s="6" t="n">
        <v>8</v>
      </c>
      <c r="B195" s="15" t="n">
        <v>3575.1</v>
      </c>
      <c r="C195" s="15" t="n">
        <v>264.47</v>
      </c>
      <c r="D195" s="15" t="n">
        <v>197.71</v>
      </c>
      <c r="E195" s="15" t="n">
        <v>146.59</v>
      </c>
    </row>
    <row r="196">
      <c r="A196" s="6" t="n">
        <v>9</v>
      </c>
      <c r="B196" s="15" t="n">
        <v>3575</v>
      </c>
      <c r="C196" s="15" t="n">
        <v>287.2</v>
      </c>
      <c r="D196" s="15" t="n">
        <v>259.33</v>
      </c>
      <c r="E196" s="15" t="n">
        <v>188.28</v>
      </c>
    </row>
    <row r="197">
      <c r="A197" s="6" t="n">
        <v>10</v>
      </c>
      <c r="B197" s="15" t="n">
        <v>3575</v>
      </c>
      <c r="C197" s="15" t="n">
        <v>396.16</v>
      </c>
      <c r="D197" s="15" t="n">
        <v>468.87</v>
      </c>
      <c r="E197" s="15" t="n">
        <v>351.1</v>
      </c>
    </row>
    <row r="216">
      <c r="A216" s="9" t="inlineStr">
        <is>
          <t>Region R11</t>
        </is>
      </c>
    </row>
    <row r="217">
      <c r="A217" s="13" t="inlineStr">
        <is>
          <t>Total-loss Gini — 5 seeds</t>
        </is>
      </c>
    </row>
    <row r="218">
      <c r="A218" s="4" t="inlineStr">
        <is>
          <t>Seed</t>
        </is>
      </c>
      <c r="B218" s="5" t="inlineStr">
        <is>
          <t>tabicl</t>
        </is>
      </c>
      <c r="C218" s="5" t="inlineStr">
        <is>
          <t>xgb_hurdle</t>
        </is>
      </c>
      <c r="D218" s="5" t="inlineStr">
        <is>
          <t>xgb_tweedie</t>
        </is>
      </c>
      <c r="E218" s="5" t="inlineStr">
        <is>
          <t>glm_hurdle</t>
        </is>
      </c>
      <c r="F218" s="5" t="inlineStr">
        <is>
          <t>glm_tweedie</t>
        </is>
      </c>
      <c r="I218" s="14" t="inlineStr">
        <is>
          <t>tabicl</t>
        </is>
      </c>
      <c r="J218" s="14" t="inlineStr">
        <is>
          <t>xgb_hurdle</t>
        </is>
      </c>
      <c r="K218" s="14" t="inlineStr">
        <is>
          <t>xgb_tweedie</t>
        </is>
      </c>
      <c r="L218" s="14" t="inlineStr">
        <is>
          <t>glm_hurdle</t>
        </is>
      </c>
      <c r="M218" s="14" t="inlineStr">
        <is>
          <t>glm_tweedie</t>
        </is>
      </c>
    </row>
    <row r="219">
      <c r="A219" s="6" t="n">
        <v>1</v>
      </c>
      <c r="B219" s="8" t="n">
        <v>0.2942</v>
      </c>
      <c r="C219" s="8" t="n">
        <v>0.3337</v>
      </c>
      <c r="D219" s="8" t="n">
        <v>0.285</v>
      </c>
      <c r="E219" s="8" t="n">
        <v>0.2658</v>
      </c>
      <c r="F219" s="8" t="n">
        <v>0.2677</v>
      </c>
      <c r="I219" t="n">
        <v>1</v>
      </c>
      <c r="J219" t="n">
        <v>2</v>
      </c>
      <c r="K219" t="n">
        <v>3</v>
      </c>
      <c r="L219" t="n">
        <v>4</v>
      </c>
      <c r="M219" t="n">
        <v>5</v>
      </c>
    </row>
    <row r="220">
      <c r="A220" s="6" t="n">
        <v>2</v>
      </c>
      <c r="B220" s="8" t="n">
        <v>0.2707</v>
      </c>
      <c r="C220" s="8" t="n">
        <v>0.3315</v>
      </c>
      <c r="D220" s="8" t="n">
        <v>0.2845</v>
      </c>
      <c r="E220" s="7" t="n"/>
      <c r="F220" s="7" t="n"/>
      <c r="I220" t="n">
        <v>1</v>
      </c>
      <c r="J220" t="n">
        <v>2</v>
      </c>
      <c r="K220" t="n">
        <v>3</v>
      </c>
      <c r="L220" t="n">
        <v>4</v>
      </c>
      <c r="M220" t="n">
        <v>5</v>
      </c>
    </row>
    <row r="221">
      <c r="A221" s="6" t="n">
        <v>3</v>
      </c>
      <c r="B221" s="8" t="n">
        <v>0.2533</v>
      </c>
      <c r="C221" s="8" t="n">
        <v>0.3326</v>
      </c>
      <c r="D221" s="8" t="n">
        <v>0.2847</v>
      </c>
      <c r="E221" s="7" t="n"/>
      <c r="F221" s="7" t="n"/>
      <c r="I221" t="n">
        <v>1</v>
      </c>
      <c r="J221" t="n">
        <v>2</v>
      </c>
      <c r="K221" t="n">
        <v>3</v>
      </c>
      <c r="L221" t="n">
        <v>4</v>
      </c>
      <c r="M221" t="n">
        <v>5</v>
      </c>
    </row>
    <row r="222">
      <c r="A222" s="6" t="n">
        <v>4</v>
      </c>
      <c r="B222" s="8" t="n">
        <v>0.296</v>
      </c>
      <c r="C222" s="8" t="n">
        <v>0.3295</v>
      </c>
      <c r="D222" s="8" t="n">
        <v>0.2885</v>
      </c>
      <c r="E222" s="7" t="n"/>
      <c r="F222" s="7" t="n"/>
      <c r="I222" t="n">
        <v>1</v>
      </c>
      <c r="J222" t="n">
        <v>2</v>
      </c>
      <c r="K222" t="n">
        <v>3</v>
      </c>
      <c r="L222" t="n">
        <v>4</v>
      </c>
      <c r="M222" t="n">
        <v>5</v>
      </c>
    </row>
    <row r="223">
      <c r="A223" s="6" t="n">
        <v>5</v>
      </c>
      <c r="B223" s="8" t="n">
        <v>0.2849</v>
      </c>
      <c r="C223" s="8" t="n">
        <v>0.3289</v>
      </c>
      <c r="D223" s="8" t="n">
        <v>0.2848</v>
      </c>
      <c r="E223" s="7" t="n"/>
      <c r="F223" s="7" t="n"/>
      <c r="I223" t="n">
        <v>1</v>
      </c>
      <c r="J223" t="n">
        <v>2</v>
      </c>
      <c r="K223" t="n">
        <v>3</v>
      </c>
      <c r="L223" t="n">
        <v>4</v>
      </c>
      <c r="M223" t="n">
        <v>5</v>
      </c>
    </row>
    <row r="225">
      <c r="A225" s="13" t="inlineStr">
        <is>
          <t>Lift — 10 equal-exposure buckets</t>
        </is>
      </c>
    </row>
    <row r="226">
      <c r="A226" s="4" t="inlineStr">
        <is>
          <t>Bucket</t>
        </is>
      </c>
      <c r="B226" s="5" t="inlineStr">
        <is>
          <t>Exposure</t>
        </is>
      </c>
      <c r="C226" s="5" t="inlineStr">
        <is>
          <t>Actual</t>
        </is>
      </c>
      <c r="D226" s="5" t="inlineStr">
        <is>
          <t>tabicl pred</t>
        </is>
      </c>
      <c r="E226" s="5" t="inlineStr">
        <is>
          <t>xgb_hurdle pred</t>
        </is>
      </c>
    </row>
    <row r="227">
      <c r="A227" s="6" t="n">
        <v>1</v>
      </c>
      <c r="B227" s="15" t="n">
        <v>3019.5</v>
      </c>
      <c r="C227" s="15" t="n">
        <v>39.73</v>
      </c>
      <c r="D227" s="15" t="n">
        <v>37.01</v>
      </c>
      <c r="E227" s="15" t="n">
        <v>59.16</v>
      </c>
    </row>
    <row r="228">
      <c r="A228" s="6" t="n">
        <v>2</v>
      </c>
      <c r="B228" s="15" t="n">
        <v>3019.8</v>
      </c>
      <c r="C228" s="15" t="n">
        <v>91.17</v>
      </c>
      <c r="D228" s="15" t="n">
        <v>60.38</v>
      </c>
      <c r="E228" s="15" t="n">
        <v>80.93000000000001</v>
      </c>
    </row>
    <row r="229">
      <c r="A229" s="6" t="n">
        <v>3</v>
      </c>
      <c r="B229" s="15" t="n">
        <v>3020</v>
      </c>
      <c r="C229" s="15" t="n">
        <v>72.87</v>
      </c>
      <c r="D229" s="15" t="n">
        <v>81.16</v>
      </c>
      <c r="E229" s="15" t="n">
        <v>93.40000000000001</v>
      </c>
    </row>
    <row r="230">
      <c r="A230" s="6" t="n">
        <v>4</v>
      </c>
      <c r="B230" s="15" t="n">
        <v>3019.8</v>
      </c>
      <c r="C230" s="15" t="n">
        <v>132.15</v>
      </c>
      <c r="D230" s="15" t="n">
        <v>102.53</v>
      </c>
      <c r="E230" s="15" t="n">
        <v>105.21</v>
      </c>
    </row>
    <row r="231">
      <c r="A231" s="6" t="n">
        <v>5</v>
      </c>
      <c r="B231" s="15" t="n">
        <v>3019.8</v>
      </c>
      <c r="C231" s="15" t="n">
        <v>129.98</v>
      </c>
      <c r="D231" s="15" t="n">
        <v>129.47</v>
      </c>
      <c r="E231" s="15" t="n">
        <v>119.9</v>
      </c>
    </row>
    <row r="232">
      <c r="A232" s="6" t="n">
        <v>6</v>
      </c>
      <c r="B232" s="15" t="n">
        <v>3019.4</v>
      </c>
      <c r="C232" s="15" t="n">
        <v>187.6</v>
      </c>
      <c r="D232" s="15" t="n">
        <v>169.43</v>
      </c>
      <c r="E232" s="15" t="n">
        <v>137.83</v>
      </c>
    </row>
    <row r="233">
      <c r="A233" s="6" t="n">
        <v>7</v>
      </c>
      <c r="B233" s="15" t="n">
        <v>3020.2</v>
      </c>
      <c r="C233" s="15" t="n">
        <v>166.65</v>
      </c>
      <c r="D233" s="15" t="n">
        <v>241.72</v>
      </c>
      <c r="E233" s="15" t="n">
        <v>159.76</v>
      </c>
    </row>
    <row r="234">
      <c r="A234" s="6" t="n">
        <v>8</v>
      </c>
      <c r="B234" s="15" t="n">
        <v>3019.6</v>
      </c>
      <c r="C234" s="15" t="n">
        <v>187.73</v>
      </c>
      <c r="D234" s="15" t="n">
        <v>380.6</v>
      </c>
      <c r="E234" s="15" t="n">
        <v>188.74</v>
      </c>
    </row>
    <row r="235">
      <c r="A235" s="6" t="n">
        <v>9</v>
      </c>
      <c r="B235" s="15" t="n">
        <v>3019.7</v>
      </c>
      <c r="C235" s="15" t="n">
        <v>151.51</v>
      </c>
      <c r="D235" s="15" t="n">
        <v>607.41</v>
      </c>
      <c r="E235" s="15" t="n">
        <v>232.63</v>
      </c>
    </row>
    <row r="236">
      <c r="A236" s="6" t="n">
        <v>10</v>
      </c>
      <c r="B236" s="15" t="n">
        <v>3020.2</v>
      </c>
      <c r="C236" s="15" t="n">
        <v>351.68</v>
      </c>
      <c r="D236" s="15" t="n">
        <v>1228.87</v>
      </c>
      <c r="E236" s="15" t="n">
        <v>394.39</v>
      </c>
    </row>
    <row r="255">
      <c r="A255" s="9" t="inlineStr">
        <is>
          <t>Region R43</t>
        </is>
      </c>
    </row>
    <row r="256">
      <c r="A256" s="13" t="inlineStr">
        <is>
          <t>Total-loss Gini — 5 seeds</t>
        </is>
      </c>
    </row>
    <row r="257">
      <c r="A257" s="4" t="inlineStr">
        <is>
          <t>Seed</t>
        </is>
      </c>
      <c r="B257" s="5" t="inlineStr">
        <is>
          <t>tabicl</t>
        </is>
      </c>
      <c r="C257" s="5" t="inlineStr">
        <is>
          <t>xgb_hurdle</t>
        </is>
      </c>
      <c r="D257" s="5" t="inlineStr">
        <is>
          <t>xgb_tweedie</t>
        </is>
      </c>
      <c r="E257" s="5" t="inlineStr">
        <is>
          <t>glm_hurdle</t>
        </is>
      </c>
      <c r="F257" s="5" t="inlineStr">
        <is>
          <t>glm_tweedie</t>
        </is>
      </c>
      <c r="I257" s="14" t="inlineStr">
        <is>
          <t>tabicl</t>
        </is>
      </c>
      <c r="J257" s="14" t="inlineStr">
        <is>
          <t>xgb_hurdle</t>
        </is>
      </c>
      <c r="K257" s="14" t="inlineStr">
        <is>
          <t>xgb_tweedie</t>
        </is>
      </c>
      <c r="L257" s="14" t="inlineStr">
        <is>
          <t>glm_hurdle</t>
        </is>
      </c>
      <c r="M257" s="14" t="inlineStr">
        <is>
          <t>glm_tweedie</t>
        </is>
      </c>
    </row>
    <row r="258">
      <c r="A258" s="6" t="n">
        <v>1</v>
      </c>
      <c r="B258" s="8" t="n">
        <v>0.4379</v>
      </c>
      <c r="C258" s="8" t="n">
        <v>0.4227</v>
      </c>
      <c r="D258" s="8" t="n">
        <v>0.4023</v>
      </c>
      <c r="E258" s="8" t="n">
        <v>0.3874</v>
      </c>
      <c r="F258" s="8" t="n">
        <v>0.3407</v>
      </c>
      <c r="I258" t="n">
        <v>1</v>
      </c>
      <c r="J258" t="n">
        <v>2</v>
      </c>
      <c r="K258" t="n">
        <v>3</v>
      </c>
      <c r="L258" t="n">
        <v>4</v>
      </c>
      <c r="M258" t="n">
        <v>5</v>
      </c>
    </row>
    <row r="259">
      <c r="A259" s="6" t="n">
        <v>2</v>
      </c>
      <c r="B259" s="8" t="n">
        <v>0.4634</v>
      </c>
      <c r="C259" s="8" t="n">
        <v>0.4052</v>
      </c>
      <c r="D259" s="8" t="n">
        <v>0.4116</v>
      </c>
      <c r="E259" s="7" t="n"/>
      <c r="F259" s="7" t="n"/>
      <c r="I259" t="n">
        <v>1</v>
      </c>
      <c r="J259" t="n">
        <v>2</v>
      </c>
      <c r="K259" t="n">
        <v>3</v>
      </c>
      <c r="L259" t="n">
        <v>4</v>
      </c>
      <c r="M259" t="n">
        <v>5</v>
      </c>
    </row>
    <row r="260">
      <c r="A260" s="6" t="n">
        <v>3</v>
      </c>
      <c r="B260" s="8" t="n">
        <v>0.4416</v>
      </c>
      <c r="C260" s="8" t="n">
        <v>0.4229</v>
      </c>
      <c r="D260" s="8" t="n">
        <v>0.4042</v>
      </c>
      <c r="E260" s="7" t="n"/>
      <c r="F260" s="7" t="n"/>
      <c r="I260" t="n">
        <v>1</v>
      </c>
      <c r="J260" t="n">
        <v>2</v>
      </c>
      <c r="K260" t="n">
        <v>3</v>
      </c>
      <c r="L260" t="n">
        <v>4</v>
      </c>
      <c r="M260" t="n">
        <v>5</v>
      </c>
    </row>
    <row r="261">
      <c r="A261" s="6" t="n">
        <v>4</v>
      </c>
      <c r="B261" s="8" t="n">
        <v>0.329</v>
      </c>
      <c r="C261" s="8" t="n">
        <v>0.4099</v>
      </c>
      <c r="D261" s="8" t="n">
        <v>0.4129</v>
      </c>
      <c r="E261" s="7" t="n"/>
      <c r="F261" s="7" t="n"/>
      <c r="I261" t="n">
        <v>1</v>
      </c>
      <c r="J261" t="n">
        <v>2</v>
      </c>
      <c r="K261" t="n">
        <v>3</v>
      </c>
      <c r="L261" t="n">
        <v>4</v>
      </c>
      <c r="M261" t="n">
        <v>5</v>
      </c>
    </row>
    <row r="262">
      <c r="A262" s="6" t="n">
        <v>5</v>
      </c>
      <c r="B262" s="8" t="n">
        <v>0.447</v>
      </c>
      <c r="C262" s="8" t="n">
        <v>0.4109</v>
      </c>
      <c r="D262" s="8" t="n">
        <v>0.4078</v>
      </c>
      <c r="E262" s="7" t="n"/>
      <c r="F262" s="7" t="n"/>
      <c r="I262" t="n">
        <v>1</v>
      </c>
      <c r="J262" t="n">
        <v>2</v>
      </c>
      <c r="K262" t="n">
        <v>3</v>
      </c>
      <c r="L262" t="n">
        <v>4</v>
      </c>
      <c r="M262" t="n">
        <v>5</v>
      </c>
    </row>
    <row r="264">
      <c r="A264" s="13" t="inlineStr">
        <is>
          <t>Lift — 10 equal-exposure buckets</t>
        </is>
      </c>
    </row>
    <row r="265">
      <c r="A265" s="4" t="inlineStr">
        <is>
          <t>Bucket</t>
        </is>
      </c>
      <c r="B265" s="5" t="inlineStr">
        <is>
          <t>Exposure</t>
        </is>
      </c>
      <c r="C265" s="5" t="inlineStr">
        <is>
          <t>Actual</t>
        </is>
      </c>
      <c r="D265" s="5" t="inlineStr">
        <is>
          <t>tabicl pred</t>
        </is>
      </c>
      <c r="E265" s="5" t="inlineStr">
        <is>
          <t>xgb_hurdle pred</t>
        </is>
      </c>
    </row>
    <row r="266">
      <c r="A266" s="6" t="n">
        <v>1</v>
      </c>
      <c r="B266" s="15" t="n">
        <v>56.1</v>
      </c>
      <c r="C266" s="15" t="n">
        <v>10.73</v>
      </c>
      <c r="D266" s="15" t="n">
        <v>37.58</v>
      </c>
      <c r="E266" s="15" t="n">
        <v>33.73</v>
      </c>
    </row>
    <row r="267">
      <c r="A267" s="6" t="n">
        <v>2</v>
      </c>
      <c r="B267" s="15" t="n">
        <v>55.7</v>
      </c>
      <c r="C267" s="15" t="n">
        <v>73.31</v>
      </c>
      <c r="D267" s="15" t="n">
        <v>56.58</v>
      </c>
      <c r="E267" s="15" t="n">
        <v>52.14</v>
      </c>
    </row>
    <row r="268">
      <c r="A268" s="6" t="n">
        <v>3</v>
      </c>
      <c r="B268" s="15" t="n">
        <v>56.9</v>
      </c>
      <c r="C268" s="15" t="n">
        <v>115.88</v>
      </c>
      <c r="D268" s="15" t="n">
        <v>71.48</v>
      </c>
      <c r="E268" s="15" t="n">
        <v>62.82</v>
      </c>
    </row>
    <row r="269">
      <c r="A269" s="6" t="n">
        <v>4</v>
      </c>
      <c r="B269" s="15" t="n">
        <v>56.6</v>
      </c>
      <c r="C269" s="15" t="n">
        <v>23.33</v>
      </c>
      <c r="D269" s="15" t="n">
        <v>84.84999999999999</v>
      </c>
      <c r="E269" s="15" t="n">
        <v>73.25</v>
      </c>
    </row>
    <row r="270">
      <c r="A270" s="6" t="n">
        <v>5</v>
      </c>
      <c r="B270" s="15" t="n">
        <v>56.6</v>
      </c>
      <c r="C270" s="15" t="n">
        <v>166.81</v>
      </c>
      <c r="D270" s="15" t="n">
        <v>99.31999999999999</v>
      </c>
      <c r="E270" s="15" t="n">
        <v>84.52</v>
      </c>
    </row>
    <row r="271">
      <c r="A271" s="6" t="n">
        <v>6</v>
      </c>
      <c r="B271" s="15" t="n">
        <v>55.9</v>
      </c>
      <c r="C271" s="15" t="n">
        <v>68.81</v>
      </c>
      <c r="D271" s="15" t="n">
        <v>116.14</v>
      </c>
      <c r="E271" s="15" t="n">
        <v>96.81999999999999</v>
      </c>
    </row>
    <row r="272">
      <c r="A272" s="6" t="n">
        <v>7</v>
      </c>
      <c r="B272" s="15" t="n">
        <v>56.3</v>
      </c>
      <c r="C272" s="15" t="n">
        <v>43.08</v>
      </c>
      <c r="D272" s="15" t="n">
        <v>140.41</v>
      </c>
      <c r="E272" s="15" t="n">
        <v>111.38</v>
      </c>
    </row>
    <row r="273">
      <c r="A273" s="6" t="n">
        <v>8</v>
      </c>
      <c r="B273" s="15" t="n">
        <v>56.4</v>
      </c>
      <c r="C273" s="15" t="n">
        <v>48.84</v>
      </c>
      <c r="D273" s="15" t="n">
        <v>172.04</v>
      </c>
      <c r="E273" s="15" t="n">
        <v>135.99</v>
      </c>
    </row>
    <row r="274">
      <c r="A274" s="6" t="n">
        <v>9</v>
      </c>
      <c r="B274" s="15" t="n">
        <v>56.9</v>
      </c>
      <c r="C274" s="15" t="n">
        <v>113.84</v>
      </c>
      <c r="D274" s="15" t="n">
        <v>234.34</v>
      </c>
      <c r="E274" s="15" t="n">
        <v>184.18</v>
      </c>
    </row>
    <row r="275">
      <c r="A275" s="6" t="n">
        <v>10</v>
      </c>
      <c r="B275" s="15" t="n">
        <v>56.4</v>
      </c>
      <c r="C275" s="15" t="n">
        <v>690.9299999999999</v>
      </c>
      <c r="D275" s="15" t="n">
        <v>454.08</v>
      </c>
      <c r="E275" s="15" t="n">
        <v>415.21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2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15" customWidth="1" min="4" max="4"/>
    <col width="15" customWidth="1" min="5" max="5"/>
    <col width="13" customWidth="1" min="6" max="6"/>
    <col width="12" customWidth="1" min="7" max="7"/>
  </cols>
  <sheetData>
    <row r="1">
      <c r="A1" s="10" t="inlineStr">
        <is>
          <t>Q3 · Does feature engineering matter?</t>
        </is>
      </c>
    </row>
    <row r="2">
      <c r="A2" s="2" t="inlineStr">
        <is>
          <t>tabicl (15 engineered features: derived business terms plus target encodings) vs tabicl_raw (9 raw cleaned columns, categoricals as integer codes, no target encoding).</t>
        </is>
      </c>
    </row>
    <row r="3">
      <c r="A3" s="2" t="inlineStr">
        <is>
          <t>PAIRED: both arms use the same seed, so exposure_stratified_subsample returns the identical draw and only the feature set differs. Differences are taken within seed, which removes the draw variance that dominates everything else in this study.</t>
        </is>
      </c>
    </row>
    <row r="5">
      <c r="A5" s="9" t="inlineStr">
        <is>
          <t>1 · Paired comparison by rung</t>
        </is>
      </c>
    </row>
    <row r="7">
      <c r="A7" s="11" t="inlineStr">
        <is>
          <t>Gini on total loss (artifact-free) — higher is better</t>
        </is>
      </c>
    </row>
    <row r="8">
      <c r="A8" s="4" t="inlineStr">
        <is>
          <t>Rung</t>
        </is>
      </c>
      <c r="B8" s="5" t="inlineStr">
        <is>
          <t>Paired draws</t>
        </is>
      </c>
      <c r="C8" s="5" t="inlineStr">
        <is>
          <t>Engineered</t>
        </is>
      </c>
      <c r="D8" s="5" t="inlineStr">
        <is>
          <t>Raw</t>
        </is>
      </c>
      <c r="E8" s="5" t="inlineStr">
        <is>
          <t>Gap (raw − eng)</t>
        </is>
      </c>
      <c r="F8" s="5" t="inlineStr">
        <is>
          <t>p (paired t)</t>
        </is>
      </c>
      <c r="G8" s="5" t="inlineStr">
        <is>
          <t>Raw wins</t>
        </is>
      </c>
    </row>
    <row r="9">
      <c r="A9" s="6" t="inlineStr">
        <is>
          <t>N = 5,000</t>
        </is>
      </c>
      <c r="B9" s="8" t="n">
        <v>20</v>
      </c>
      <c r="C9" s="8" t="n">
        <v>0.3314</v>
      </c>
      <c r="D9" s="8" t="n">
        <v>0.2714</v>
      </c>
      <c r="E9" s="8" t="n">
        <v>-0.06</v>
      </c>
      <c r="F9" s="8" t="n">
        <v>0.0009</v>
      </c>
      <c r="G9" s="7" t="inlineStr">
        <is>
          <t>3/20</t>
        </is>
      </c>
    </row>
    <row r="10">
      <c r="A10" s="6" t="inlineStr">
        <is>
          <t>N = 10,000</t>
        </is>
      </c>
      <c r="B10" s="8" t="n">
        <v>20</v>
      </c>
      <c r="C10" s="8" t="n">
        <v>0.3324</v>
      </c>
      <c r="D10" s="8" t="n">
        <v>0.3052</v>
      </c>
      <c r="E10" s="8" t="n">
        <v>-0.0271</v>
      </c>
      <c r="F10" s="8" t="n">
        <v>0.06</v>
      </c>
      <c r="G10" s="7" t="inlineStr">
        <is>
          <t>7/20</t>
        </is>
      </c>
    </row>
    <row r="11">
      <c r="A11" s="6" t="inlineStr">
        <is>
          <t>N = 20,000</t>
        </is>
      </c>
      <c r="B11" s="8" t="n">
        <v>20</v>
      </c>
      <c r="C11" s="8" t="n">
        <v>0.4115</v>
      </c>
      <c r="D11" s="8" t="n">
        <v>0.3666</v>
      </c>
      <c r="E11" s="8" t="n">
        <v>-0.0449</v>
      </c>
      <c r="F11" s="8" t="n">
        <v>0.0005999999999999999</v>
      </c>
      <c r="G11" s="7" t="inlineStr">
        <is>
          <t>3/20</t>
        </is>
      </c>
    </row>
    <row r="12">
      <c r="A12" s="6" t="inlineStr">
        <is>
          <t>N = 100,000</t>
        </is>
      </c>
      <c r="B12" s="8" t="n">
        <v>20</v>
      </c>
      <c r="C12" s="8" t="n">
        <v>0.4849</v>
      </c>
      <c r="D12" s="8" t="n">
        <v>0.5191</v>
      </c>
      <c r="E12" s="8" t="n">
        <v>0.0342</v>
      </c>
      <c r="F12" s="8" t="n">
        <v>0.0002</v>
      </c>
      <c r="G12" s="7" t="inlineStr">
        <is>
          <t>18/20</t>
        </is>
      </c>
    </row>
    <row r="14">
      <c r="A14" s="11" t="inlineStr">
        <is>
          <t>Exposure-weighted Gini (rate) — higher is better</t>
        </is>
      </c>
    </row>
    <row r="15">
      <c r="A15" s="4" t="inlineStr">
        <is>
          <t>Rung</t>
        </is>
      </c>
      <c r="B15" s="5" t="inlineStr">
        <is>
          <t>Paired draws</t>
        </is>
      </c>
      <c r="C15" s="5" t="inlineStr">
        <is>
          <t>Engineered</t>
        </is>
      </c>
      <c r="D15" s="5" t="inlineStr">
        <is>
          <t>Raw</t>
        </is>
      </c>
      <c r="E15" s="5" t="inlineStr">
        <is>
          <t>Gap (raw − eng)</t>
        </is>
      </c>
      <c r="F15" s="5" t="inlineStr">
        <is>
          <t>p (paired t)</t>
        </is>
      </c>
      <c r="G15" s="5" t="inlineStr">
        <is>
          <t>Raw wins</t>
        </is>
      </c>
    </row>
    <row r="16">
      <c r="A16" s="6" t="inlineStr">
        <is>
          <t>N = 5,000</t>
        </is>
      </c>
      <c r="B16" s="8" t="n">
        <v>20</v>
      </c>
      <c r="C16" s="8" t="n">
        <v>0.4897</v>
      </c>
      <c r="D16" s="8" t="n">
        <v>0.4801</v>
      </c>
      <c r="E16" s="8" t="n">
        <v>-0.009599999999999999</v>
      </c>
      <c r="F16" s="8" t="n">
        <v>0.1067</v>
      </c>
      <c r="G16" s="7" t="inlineStr">
        <is>
          <t>6/20</t>
        </is>
      </c>
    </row>
    <row r="17">
      <c r="A17" s="6" t="inlineStr">
        <is>
          <t>N = 10,000</t>
        </is>
      </c>
      <c r="B17" s="8" t="n">
        <v>20</v>
      </c>
      <c r="C17" s="8" t="n">
        <v>0.5298</v>
      </c>
      <c r="D17" s="8" t="n">
        <v>0.5271</v>
      </c>
      <c r="E17" s="8" t="n">
        <v>-0.0027</v>
      </c>
      <c r="F17" s="8" t="n">
        <v>0.7078</v>
      </c>
      <c r="G17" s="7" t="inlineStr">
        <is>
          <t>10/20</t>
        </is>
      </c>
    </row>
    <row r="18">
      <c r="A18" s="6" t="inlineStr">
        <is>
          <t>N = 20,000</t>
        </is>
      </c>
      <c r="B18" s="8" t="n">
        <v>20</v>
      </c>
      <c r="C18" s="8" t="n">
        <v>0.5513</v>
      </c>
      <c r="D18" s="8" t="n">
        <v>0.5401</v>
      </c>
      <c r="E18" s="8" t="n">
        <v>-0.0112</v>
      </c>
      <c r="F18" s="8" t="n">
        <v>0.0209</v>
      </c>
      <c r="G18" s="7" t="inlineStr">
        <is>
          <t>7/20</t>
        </is>
      </c>
    </row>
    <row r="19">
      <c r="A19" s="6" t="inlineStr">
        <is>
          <t>N = 100,000</t>
        </is>
      </c>
      <c r="B19" s="8" t="n">
        <v>20</v>
      </c>
      <c r="C19" s="8" t="n">
        <v>0.5748</v>
      </c>
      <c r="D19" s="8" t="n">
        <v>0.6008</v>
      </c>
      <c r="E19" s="8" t="n">
        <v>0.026</v>
      </c>
      <c r="F19" s="8" t="n">
        <v>0</v>
      </c>
      <c r="G19" s="7" t="inlineStr">
        <is>
          <t>19/20</t>
        </is>
      </c>
    </row>
    <row r="21">
      <c r="A21" s="11" t="inlineStr">
        <is>
          <t>Gini, full-term policies (exp &gt;= 0.95) — higher is better</t>
        </is>
      </c>
    </row>
    <row r="22">
      <c r="A22" s="4" t="inlineStr">
        <is>
          <t>Rung</t>
        </is>
      </c>
      <c r="B22" s="5" t="inlineStr">
        <is>
          <t>Paired draws</t>
        </is>
      </c>
      <c r="C22" s="5" t="inlineStr">
        <is>
          <t>Engineered</t>
        </is>
      </c>
      <c r="D22" s="5" t="inlineStr">
        <is>
          <t>Raw</t>
        </is>
      </c>
      <c r="E22" s="5" t="inlineStr">
        <is>
          <t>Gap (raw − eng)</t>
        </is>
      </c>
      <c r="F22" s="5" t="inlineStr">
        <is>
          <t>p (paired t)</t>
        </is>
      </c>
      <c r="G22" s="5" t="inlineStr">
        <is>
          <t>Raw wins</t>
        </is>
      </c>
    </row>
    <row r="23">
      <c r="A23" s="6" t="inlineStr">
        <is>
          <t>N = 5,000</t>
        </is>
      </c>
      <c r="B23" s="8" t="n">
        <v>20</v>
      </c>
      <c r="C23" s="8" t="n">
        <v>0.3131</v>
      </c>
      <c r="D23" s="8" t="n">
        <v>0.3308</v>
      </c>
      <c r="E23" s="8" t="n">
        <v>0.0178</v>
      </c>
      <c r="F23" s="8" t="n">
        <v>0.0036</v>
      </c>
      <c r="G23" s="7" t="inlineStr">
        <is>
          <t>15/20</t>
        </is>
      </c>
    </row>
    <row r="24">
      <c r="A24" s="6" t="inlineStr">
        <is>
          <t>N = 10,000</t>
        </is>
      </c>
      <c r="B24" s="8" t="n">
        <v>20</v>
      </c>
      <c r="C24" s="8" t="n">
        <v>0.3401</v>
      </c>
      <c r="D24" s="8" t="n">
        <v>0.3583</v>
      </c>
      <c r="E24" s="8" t="n">
        <v>0.0183</v>
      </c>
      <c r="F24" s="8" t="n">
        <v>0.0022</v>
      </c>
      <c r="G24" s="7" t="inlineStr">
        <is>
          <t>15/20</t>
        </is>
      </c>
    </row>
    <row r="25">
      <c r="A25" s="6" t="inlineStr">
        <is>
          <t>N = 20,000</t>
        </is>
      </c>
      <c r="B25" s="8" t="n">
        <v>20</v>
      </c>
      <c r="C25" s="8" t="n">
        <v>0.3619</v>
      </c>
      <c r="D25" s="8" t="n">
        <v>0.371</v>
      </c>
      <c r="E25" s="8" t="n">
        <v>0.008999999999999999</v>
      </c>
      <c r="F25" s="8" t="n">
        <v>0.017</v>
      </c>
      <c r="G25" s="7" t="inlineStr">
        <is>
          <t>15/20</t>
        </is>
      </c>
    </row>
    <row r="26">
      <c r="A26" s="6" t="inlineStr">
        <is>
          <t>N = 100,000</t>
        </is>
      </c>
      <c r="B26" s="8" t="n">
        <v>20</v>
      </c>
      <c r="C26" s="8" t="n">
        <v>0.3927</v>
      </c>
      <c r="D26" s="8" t="n">
        <v>0.4165</v>
      </c>
      <c r="E26" s="8" t="n">
        <v>0.0238</v>
      </c>
      <c r="F26" s="8" t="n">
        <v>0</v>
      </c>
      <c r="G26" s="7" t="inlineStr">
        <is>
          <t>19/20</t>
        </is>
      </c>
    </row>
    <row r="28">
      <c r="A28" s="11" t="inlineStr">
        <is>
          <t>Mean Tweedie deviance (p=1.5) — lower is better</t>
        </is>
      </c>
    </row>
    <row r="29">
      <c r="A29" s="4" t="inlineStr">
        <is>
          <t>Rung</t>
        </is>
      </c>
      <c r="B29" s="5" t="inlineStr">
        <is>
          <t>Paired draws</t>
        </is>
      </c>
      <c r="C29" s="5" t="inlineStr">
        <is>
          <t>Engineered</t>
        </is>
      </c>
      <c r="D29" s="5" t="inlineStr">
        <is>
          <t>Raw</t>
        </is>
      </c>
      <c r="E29" s="5" t="inlineStr">
        <is>
          <t>Gap (raw − eng)</t>
        </is>
      </c>
      <c r="F29" s="5" t="inlineStr">
        <is>
          <t>p (paired t)</t>
        </is>
      </c>
      <c r="G29" s="5" t="inlineStr">
        <is>
          <t>Raw wins</t>
        </is>
      </c>
    </row>
    <row r="30">
      <c r="A30" s="6" t="inlineStr">
        <is>
          <t>N = 5,000</t>
        </is>
      </c>
      <c r="B30" s="8" t="n">
        <v>20</v>
      </c>
      <c r="C30" s="8" t="n">
        <v>98.64239999999999</v>
      </c>
      <c r="D30" s="8" t="n">
        <v>99.80070000000001</v>
      </c>
      <c r="E30" s="8" t="n">
        <v>1.1583</v>
      </c>
      <c r="F30" s="8" t="n">
        <v>0.0663</v>
      </c>
      <c r="G30" s="7" t="inlineStr">
        <is>
          <t>4/20</t>
        </is>
      </c>
    </row>
    <row r="31">
      <c r="A31" s="6" t="inlineStr">
        <is>
          <t>N = 10,000</t>
        </is>
      </c>
      <c r="B31" s="8" t="n">
        <v>20</v>
      </c>
      <c r="C31" s="8" t="n">
        <v>95.5651</v>
      </c>
      <c r="D31" s="8" t="n">
        <v>96.87269999999999</v>
      </c>
      <c r="E31" s="8" t="n">
        <v>1.3076</v>
      </c>
      <c r="F31" s="8" t="n">
        <v>0.0275</v>
      </c>
      <c r="G31" s="7" t="inlineStr">
        <is>
          <t>8/20</t>
        </is>
      </c>
    </row>
    <row r="32">
      <c r="A32" s="6" t="inlineStr">
        <is>
          <t>N = 20,000</t>
        </is>
      </c>
      <c r="B32" s="8" t="n">
        <v>20</v>
      </c>
      <c r="C32" s="8" t="n">
        <v>93.2561</v>
      </c>
      <c r="D32" s="8" t="n">
        <v>94.8113</v>
      </c>
      <c r="E32" s="8" t="n">
        <v>1.5552</v>
      </c>
      <c r="F32" s="8" t="n">
        <v>0.0004</v>
      </c>
      <c r="G32" s="7" t="inlineStr">
        <is>
          <t>3/20</t>
        </is>
      </c>
    </row>
    <row r="33">
      <c r="A33" s="6" t="inlineStr">
        <is>
          <t>N = 100,000</t>
        </is>
      </c>
      <c r="B33" s="8" t="n">
        <v>20</v>
      </c>
      <c r="C33" s="8" t="n">
        <v>87.2757</v>
      </c>
      <c r="D33" s="8" t="n">
        <v>85.6009</v>
      </c>
      <c r="E33" s="8" t="n">
        <v>-1.6748</v>
      </c>
      <c r="F33" s="8" t="n">
        <v>0.0047</v>
      </c>
      <c r="G33" s="7" t="inlineStr">
        <is>
          <t>16/20</t>
        </is>
      </c>
    </row>
    <row r="35">
      <c r="A35" s="11" t="inlineStr">
        <is>
          <t>Calibration (predicted / actual) — higher is better</t>
        </is>
      </c>
    </row>
    <row r="36">
      <c r="A36" s="4" t="inlineStr">
        <is>
          <t>Rung</t>
        </is>
      </c>
      <c r="B36" s="5" t="inlineStr">
        <is>
          <t>Paired draws</t>
        </is>
      </c>
      <c r="C36" s="5" t="inlineStr">
        <is>
          <t>Engineered</t>
        </is>
      </c>
      <c r="D36" s="5" t="inlineStr">
        <is>
          <t>Raw</t>
        </is>
      </c>
      <c r="E36" s="5" t="inlineStr">
        <is>
          <t>Gap (raw − eng)</t>
        </is>
      </c>
      <c r="F36" s="5" t="inlineStr">
        <is>
          <t>p (paired t)</t>
        </is>
      </c>
      <c r="G36" s="5" t="inlineStr">
        <is>
          <t>Raw wins</t>
        </is>
      </c>
    </row>
    <row r="37">
      <c r="A37" s="6" t="inlineStr">
        <is>
          <t>N = 5,000</t>
        </is>
      </c>
      <c r="B37" s="8" t="n">
        <v>20</v>
      </c>
      <c r="C37" s="8" t="n">
        <v>0.4251</v>
      </c>
      <c r="D37" s="8" t="n">
        <v>0.4358</v>
      </c>
      <c r="E37" s="8" t="n">
        <v>0.0107</v>
      </c>
      <c r="F37" s="8" t="n">
        <v>0.0287</v>
      </c>
      <c r="G37" s="7" t="inlineStr">
        <is>
          <t>14/20</t>
        </is>
      </c>
    </row>
    <row r="38">
      <c r="A38" s="6" t="inlineStr">
        <is>
          <t>N = 10,000</t>
        </is>
      </c>
      <c r="B38" s="8" t="n">
        <v>20</v>
      </c>
      <c r="C38" s="8" t="n">
        <v>0.4555</v>
      </c>
      <c r="D38" s="8" t="n">
        <v>0.4371</v>
      </c>
      <c r="E38" s="8" t="n">
        <v>-0.0184</v>
      </c>
      <c r="F38" s="8" t="n">
        <v>0.0031</v>
      </c>
      <c r="G38" s="7" t="inlineStr">
        <is>
          <t>4/20</t>
        </is>
      </c>
    </row>
    <row r="39">
      <c r="A39" s="6" t="inlineStr">
        <is>
          <t>N = 20,000</t>
        </is>
      </c>
      <c r="B39" s="8" t="n">
        <v>20</v>
      </c>
      <c r="C39" s="8" t="n">
        <v>0.4527</v>
      </c>
      <c r="D39" s="8" t="n">
        <v>0.4474</v>
      </c>
      <c r="E39" s="8" t="n">
        <v>-0.0053</v>
      </c>
      <c r="F39" s="8" t="n">
        <v>0.3696</v>
      </c>
      <c r="G39" s="7" t="inlineStr">
        <is>
          <t>8/20</t>
        </is>
      </c>
    </row>
    <row r="40">
      <c r="A40" s="6" t="inlineStr">
        <is>
          <t>N = 100,000</t>
        </is>
      </c>
      <c r="B40" s="8" t="n">
        <v>20</v>
      </c>
      <c r="C40" s="8" t="n">
        <v>0.5493</v>
      </c>
      <c r="D40" s="8" t="n">
        <v>0.5194</v>
      </c>
      <c r="E40" s="8" t="n">
        <v>-0.0299</v>
      </c>
      <c r="F40" s="8" t="n">
        <v>0.0527</v>
      </c>
      <c r="G40" s="7" t="inlineStr">
        <is>
          <t>5/20</t>
        </is>
      </c>
    </row>
    <row r="43">
      <c r="A43" s="9" t="inlineStr">
        <is>
          <t>2 · The crossover</t>
        </is>
      </c>
    </row>
    <row r="44">
      <c r="A44" s="2" t="inlineStr">
        <is>
          <t>Feature engineering is an asset below 20k and a liability by 100k. Three metrics agree on direction and significance at both ends.</t>
        </is>
      </c>
    </row>
    <row r="46">
      <c r="A46" s="4" t="inlineStr">
        <is>
          <t>N</t>
        </is>
      </c>
      <c r="B46" s="5" t="inlineStr">
        <is>
          <t>engineered</t>
        </is>
      </c>
      <c r="C46" s="5" t="inlineStr">
        <is>
          <t>raw</t>
        </is>
      </c>
    </row>
    <row r="47">
      <c r="A47" s="6" t="inlineStr">
        <is>
          <t>5,000</t>
        </is>
      </c>
      <c r="B47" s="8" t="n">
        <v>0.3314</v>
      </c>
      <c r="C47" s="8" t="n">
        <v>0.2714</v>
      </c>
    </row>
    <row r="48">
      <c r="A48" s="6" t="inlineStr">
        <is>
          <t>10,000</t>
        </is>
      </c>
      <c r="B48" s="8" t="n">
        <v>0.3324</v>
      </c>
      <c r="C48" s="8" t="n">
        <v>0.3052</v>
      </c>
    </row>
    <row r="49">
      <c r="A49" s="6" t="inlineStr">
        <is>
          <t>20,000</t>
        </is>
      </c>
      <c r="B49" s="8" t="n">
        <v>0.4115</v>
      </c>
      <c r="C49" s="8" t="n">
        <v>0.3666</v>
      </c>
    </row>
    <row r="50">
      <c r="A50" s="6" t="inlineStr">
        <is>
          <t>100,000</t>
        </is>
      </c>
      <c r="B50" s="8" t="n">
        <v>0.4849</v>
      </c>
      <c r="C50" s="8" t="n">
        <v>0.5191</v>
      </c>
    </row>
    <row r="66">
      <c r="A66" s="9" t="inlineStr">
        <is>
          <t>3 · Lift by rung — engineered vs raw</t>
        </is>
      </c>
    </row>
    <row r="68">
      <c r="A68" s="16" t="inlineStr">
        <is>
          <t>N = 5,000</t>
        </is>
      </c>
    </row>
    <row r="69">
      <c r="A69" s="4" t="inlineStr">
        <is>
          <t>Bucket</t>
        </is>
      </c>
      <c r="B69" s="5" t="inlineStr">
        <is>
          <t>Exposure</t>
        </is>
      </c>
      <c r="C69" s="5" t="inlineStr">
        <is>
          <t>Actual</t>
        </is>
      </c>
      <c r="D69" s="5" t="inlineStr">
        <is>
          <t>tabicl pred</t>
        </is>
      </c>
      <c r="E69" s="5" t="inlineStr">
        <is>
          <t>tabicl_raw pred</t>
        </is>
      </c>
    </row>
    <row r="70">
      <c r="A70" s="6" t="n">
        <v>1</v>
      </c>
      <c r="B70" s="15" t="n">
        <v>7145.8</v>
      </c>
      <c r="C70" s="15" t="n">
        <v>34.48</v>
      </c>
      <c r="D70" s="15" t="n">
        <v>35.62</v>
      </c>
      <c r="E70" s="15" t="n">
        <v>31.99</v>
      </c>
    </row>
    <row r="71">
      <c r="A71" s="6" t="n">
        <v>2</v>
      </c>
      <c r="B71" s="15" t="n">
        <v>7146.9</v>
      </c>
      <c r="C71" s="15" t="n">
        <v>43.65</v>
      </c>
      <c r="D71" s="15" t="n">
        <v>44.12</v>
      </c>
      <c r="E71" s="15" t="n">
        <v>40.19</v>
      </c>
    </row>
    <row r="72">
      <c r="A72" s="6" t="n">
        <v>3</v>
      </c>
      <c r="B72" s="15" t="n">
        <v>7146.5</v>
      </c>
      <c r="C72" s="15" t="n">
        <v>52.87</v>
      </c>
      <c r="D72" s="15" t="n">
        <v>50.79</v>
      </c>
      <c r="E72" s="15" t="n">
        <v>47.42</v>
      </c>
    </row>
    <row r="73">
      <c r="A73" s="6" t="n">
        <v>4</v>
      </c>
      <c r="B73" s="15" t="n">
        <v>7146.9</v>
      </c>
      <c r="C73" s="15" t="n">
        <v>85.84</v>
      </c>
      <c r="D73" s="15" t="n">
        <v>57.63</v>
      </c>
      <c r="E73" s="15" t="n">
        <v>55.34</v>
      </c>
    </row>
    <row r="74">
      <c r="A74" s="6" t="n">
        <v>5</v>
      </c>
      <c r="B74" s="15" t="n">
        <v>7146.2</v>
      </c>
      <c r="C74" s="15" t="n">
        <v>150.14</v>
      </c>
      <c r="D74" s="15" t="n">
        <v>65.40000000000001</v>
      </c>
      <c r="E74" s="15" t="n">
        <v>64.23</v>
      </c>
    </row>
    <row r="75">
      <c r="A75" s="6" t="n">
        <v>6</v>
      </c>
      <c r="B75" s="15" t="n">
        <v>7146</v>
      </c>
      <c r="C75" s="15" t="n">
        <v>118.61</v>
      </c>
      <c r="D75" s="15" t="n">
        <v>74.78</v>
      </c>
      <c r="E75" s="15" t="n">
        <v>75.65000000000001</v>
      </c>
    </row>
    <row r="76">
      <c r="A76" s="6" t="n">
        <v>7</v>
      </c>
      <c r="B76" s="15" t="n">
        <v>7147</v>
      </c>
      <c r="C76" s="15" t="n">
        <v>124.59</v>
      </c>
      <c r="D76" s="15" t="n">
        <v>87.98</v>
      </c>
      <c r="E76" s="15" t="n">
        <v>91.95999999999999</v>
      </c>
    </row>
    <row r="77">
      <c r="A77" s="6" t="n">
        <v>8</v>
      </c>
      <c r="B77" s="15" t="n">
        <v>7146.9</v>
      </c>
      <c r="C77" s="15" t="n">
        <v>195.81</v>
      </c>
      <c r="D77" s="15" t="n">
        <v>107.23</v>
      </c>
      <c r="E77" s="15" t="n">
        <v>114.1</v>
      </c>
    </row>
    <row r="78">
      <c r="A78" s="6" t="n">
        <v>9</v>
      </c>
      <c r="B78" s="15" t="n">
        <v>7146.6</v>
      </c>
      <c r="C78" s="15" t="n">
        <v>210.79</v>
      </c>
      <c r="D78" s="15" t="n">
        <v>139.15</v>
      </c>
      <c r="E78" s="15" t="n">
        <v>149.4</v>
      </c>
    </row>
    <row r="79">
      <c r="A79" s="6" t="n">
        <v>10</v>
      </c>
      <c r="B79" s="15" t="n">
        <v>7146.6</v>
      </c>
      <c r="C79" s="15" t="n">
        <v>1142.84</v>
      </c>
      <c r="D79" s="15" t="n">
        <v>255.31</v>
      </c>
      <c r="E79" s="15" t="n">
        <v>270.91</v>
      </c>
    </row>
    <row r="89">
      <c r="A89" s="16" t="inlineStr">
        <is>
          <t>N = 10,000</t>
        </is>
      </c>
    </row>
    <row r="90">
      <c r="A90" s="4" t="inlineStr">
        <is>
          <t>Bucket</t>
        </is>
      </c>
      <c r="B90" s="5" t="inlineStr">
        <is>
          <t>Exposure</t>
        </is>
      </c>
      <c r="C90" s="5" t="inlineStr">
        <is>
          <t>Actual</t>
        </is>
      </c>
      <c r="D90" s="5" t="inlineStr">
        <is>
          <t>tabicl pred</t>
        </is>
      </c>
      <c r="E90" s="5" t="inlineStr">
        <is>
          <t>tabicl_raw pred</t>
        </is>
      </c>
    </row>
    <row r="91">
      <c r="A91" s="6" t="n">
        <v>1</v>
      </c>
      <c r="B91" s="15" t="n">
        <v>7145.9</v>
      </c>
      <c r="C91" s="15" t="n">
        <v>29.61</v>
      </c>
      <c r="D91" s="15" t="n">
        <v>36.57</v>
      </c>
      <c r="E91" s="15" t="n">
        <v>29.71</v>
      </c>
    </row>
    <row r="92">
      <c r="A92" s="6" t="n">
        <v>2</v>
      </c>
      <c r="B92" s="15" t="n">
        <v>7146.7</v>
      </c>
      <c r="C92" s="15" t="n">
        <v>49.46</v>
      </c>
      <c r="D92" s="15" t="n">
        <v>46.48</v>
      </c>
      <c r="E92" s="15" t="n">
        <v>38.42</v>
      </c>
    </row>
    <row r="93">
      <c r="A93" s="6" t="n">
        <v>3</v>
      </c>
      <c r="B93" s="15" t="n">
        <v>7146.8</v>
      </c>
      <c r="C93" s="15" t="n">
        <v>53.49</v>
      </c>
      <c r="D93" s="15" t="n">
        <v>53.62</v>
      </c>
      <c r="E93" s="15" t="n">
        <v>45.63</v>
      </c>
    </row>
    <row r="94">
      <c r="A94" s="6" t="n">
        <v>4</v>
      </c>
      <c r="B94" s="15" t="n">
        <v>7145.8</v>
      </c>
      <c r="C94" s="15" t="n">
        <v>67.36</v>
      </c>
      <c r="D94" s="15" t="n">
        <v>60.69</v>
      </c>
      <c r="E94" s="15" t="n">
        <v>53.33</v>
      </c>
    </row>
    <row r="95">
      <c r="A95" s="6" t="n">
        <v>5</v>
      </c>
      <c r="B95" s="15" t="n">
        <v>7147.1</v>
      </c>
      <c r="C95" s="15" t="n">
        <v>121.64</v>
      </c>
      <c r="D95" s="15" t="n">
        <v>68.75</v>
      </c>
      <c r="E95" s="15" t="n">
        <v>62.3</v>
      </c>
    </row>
    <row r="96">
      <c r="A96" s="6" t="n">
        <v>6</v>
      </c>
      <c r="B96" s="15" t="n">
        <v>7146.4</v>
      </c>
      <c r="C96" s="15" t="n">
        <v>136.31</v>
      </c>
      <c r="D96" s="15" t="n">
        <v>79.31</v>
      </c>
      <c r="E96" s="15" t="n">
        <v>74.45</v>
      </c>
    </row>
    <row r="97">
      <c r="A97" s="6" t="n">
        <v>7</v>
      </c>
      <c r="B97" s="15" t="n">
        <v>7147</v>
      </c>
      <c r="C97" s="15" t="n">
        <v>129.76</v>
      </c>
      <c r="D97" s="15" t="n">
        <v>93.63</v>
      </c>
      <c r="E97" s="15" t="n">
        <v>90.93000000000001</v>
      </c>
    </row>
    <row r="98">
      <c r="A98" s="6" t="n">
        <v>8</v>
      </c>
      <c r="B98" s="15" t="n">
        <v>7146.2</v>
      </c>
      <c r="C98" s="15" t="n">
        <v>194.77</v>
      </c>
      <c r="D98" s="15" t="n">
        <v>113.9</v>
      </c>
      <c r="E98" s="15" t="n">
        <v>113.66</v>
      </c>
    </row>
    <row r="99">
      <c r="A99" s="6" t="n">
        <v>9</v>
      </c>
      <c r="B99" s="15" t="n">
        <v>7146.2</v>
      </c>
      <c r="C99" s="15" t="n">
        <v>224.14</v>
      </c>
      <c r="D99" s="15" t="n">
        <v>146.44</v>
      </c>
      <c r="E99" s="15" t="n">
        <v>150.37</v>
      </c>
    </row>
    <row r="100">
      <c r="A100" s="6" t="n">
        <v>10</v>
      </c>
      <c r="B100" s="15" t="n">
        <v>7147.3</v>
      </c>
      <c r="C100" s="15" t="n">
        <v>1152.99</v>
      </c>
      <c r="D100" s="15" t="n">
        <v>284.23</v>
      </c>
      <c r="E100" s="15" t="n">
        <v>285.11</v>
      </c>
    </row>
    <row r="110">
      <c r="A110" s="16" t="inlineStr">
        <is>
          <t>N = 20,000</t>
        </is>
      </c>
    </row>
    <row r="111">
      <c r="A111" s="4" t="inlineStr">
        <is>
          <t>Bucket</t>
        </is>
      </c>
      <c r="B111" s="5" t="inlineStr">
        <is>
          <t>Exposure</t>
        </is>
      </c>
      <c r="C111" s="5" t="inlineStr">
        <is>
          <t>Actual</t>
        </is>
      </c>
      <c r="D111" s="5" t="inlineStr">
        <is>
          <t>tabicl pred</t>
        </is>
      </c>
      <c r="E111" s="5" t="inlineStr">
        <is>
          <t>tabicl_raw pred</t>
        </is>
      </c>
    </row>
    <row r="112">
      <c r="A112" s="6" t="n">
        <v>1</v>
      </c>
      <c r="B112" s="15" t="n">
        <v>7146</v>
      </c>
      <c r="C112" s="15" t="n">
        <v>28.81</v>
      </c>
      <c r="D112" s="15" t="n">
        <v>28.68</v>
      </c>
      <c r="E112" s="15" t="n">
        <v>25.28</v>
      </c>
    </row>
    <row r="113">
      <c r="A113" s="6" t="n">
        <v>2</v>
      </c>
      <c r="B113" s="15" t="n">
        <v>7146.4</v>
      </c>
      <c r="C113" s="15" t="n">
        <v>43.96</v>
      </c>
      <c r="D113" s="15" t="n">
        <v>39.07</v>
      </c>
      <c r="E113" s="15" t="n">
        <v>35.55</v>
      </c>
    </row>
    <row r="114">
      <c r="A114" s="6" t="n">
        <v>3</v>
      </c>
      <c r="B114" s="15" t="n">
        <v>7147.1</v>
      </c>
      <c r="C114" s="15" t="n">
        <v>65.17</v>
      </c>
      <c r="D114" s="15" t="n">
        <v>47.21</v>
      </c>
      <c r="E114" s="15" t="n">
        <v>43.93</v>
      </c>
    </row>
    <row r="115">
      <c r="A115" s="6" t="n">
        <v>4</v>
      </c>
      <c r="B115" s="15" t="n">
        <v>7146.4</v>
      </c>
      <c r="C115" s="15" t="n">
        <v>59.95</v>
      </c>
      <c r="D115" s="15" t="n">
        <v>55.42</v>
      </c>
      <c r="E115" s="15" t="n">
        <v>52.77</v>
      </c>
    </row>
    <row r="116">
      <c r="A116" s="6" t="n">
        <v>5</v>
      </c>
      <c r="B116" s="15" t="n">
        <v>7146.5</v>
      </c>
      <c r="C116" s="15" t="n">
        <v>132.98</v>
      </c>
      <c r="D116" s="15" t="n">
        <v>64.7</v>
      </c>
      <c r="E116" s="15" t="n">
        <v>62.68</v>
      </c>
    </row>
    <row r="117">
      <c r="A117" s="6" t="n">
        <v>6</v>
      </c>
      <c r="B117" s="15" t="n">
        <v>7146.2</v>
      </c>
      <c r="C117" s="15" t="n">
        <v>118.7</v>
      </c>
      <c r="D117" s="15" t="n">
        <v>76.25</v>
      </c>
      <c r="E117" s="15" t="n">
        <v>75.12</v>
      </c>
    </row>
    <row r="118">
      <c r="A118" s="6" t="n">
        <v>7</v>
      </c>
      <c r="B118" s="15" t="n">
        <v>7146.5</v>
      </c>
      <c r="C118" s="15" t="n">
        <v>179.8</v>
      </c>
      <c r="D118" s="15" t="n">
        <v>92.25</v>
      </c>
      <c r="E118" s="15" t="n">
        <v>92.19</v>
      </c>
    </row>
    <row r="119">
      <c r="A119" s="6" t="n">
        <v>8</v>
      </c>
      <c r="B119" s="15" t="n">
        <v>7146.6</v>
      </c>
      <c r="C119" s="15" t="n">
        <v>154.67</v>
      </c>
      <c r="D119" s="15" t="n">
        <v>115.62</v>
      </c>
      <c r="E119" s="15" t="n">
        <v>116.96</v>
      </c>
    </row>
    <row r="120">
      <c r="A120" s="6" t="n">
        <v>9</v>
      </c>
      <c r="B120" s="15" t="n">
        <v>7147</v>
      </c>
      <c r="C120" s="15" t="n">
        <v>227.23</v>
      </c>
      <c r="D120" s="15" t="n">
        <v>155.31</v>
      </c>
      <c r="E120" s="15" t="n">
        <v>158.82</v>
      </c>
    </row>
    <row r="121">
      <c r="A121" s="6" t="n">
        <v>10</v>
      </c>
      <c r="B121" s="15" t="n">
        <v>7146.6</v>
      </c>
      <c r="C121" s="15" t="n">
        <v>1148.32</v>
      </c>
      <c r="D121" s="15" t="n">
        <v>303.18</v>
      </c>
      <c r="E121" s="15" t="n">
        <v>302.88</v>
      </c>
    </row>
    <row r="131">
      <c r="A131" s="16" t="inlineStr">
        <is>
          <t>N = 100,000</t>
        </is>
      </c>
    </row>
    <row r="132">
      <c r="A132" s="4" t="inlineStr">
        <is>
          <t>Bucket</t>
        </is>
      </c>
      <c r="B132" s="5" t="inlineStr">
        <is>
          <t>Exposure</t>
        </is>
      </c>
      <c r="C132" s="5" t="inlineStr">
        <is>
          <t>Actual</t>
        </is>
      </c>
      <c r="D132" s="5" t="inlineStr">
        <is>
          <t>tabicl pred</t>
        </is>
      </c>
      <c r="E132" s="5" t="inlineStr">
        <is>
          <t>tabicl_raw pred</t>
        </is>
      </c>
    </row>
    <row r="133">
      <c r="A133" s="6" t="n">
        <v>1</v>
      </c>
      <c r="B133" s="15" t="n">
        <v>7146.1</v>
      </c>
      <c r="C133" s="15" t="n">
        <v>28.64</v>
      </c>
      <c r="D133" s="15" t="n">
        <v>26.18</v>
      </c>
      <c r="E133" s="15" t="n">
        <v>23.98</v>
      </c>
    </row>
    <row r="134">
      <c r="A134" s="6" t="n">
        <v>2</v>
      </c>
      <c r="B134" s="15" t="n">
        <v>7146.1</v>
      </c>
      <c r="C134" s="15" t="n">
        <v>37.5</v>
      </c>
      <c r="D134" s="15" t="n">
        <v>40.78</v>
      </c>
      <c r="E134" s="15" t="n">
        <v>36.2</v>
      </c>
    </row>
    <row r="135">
      <c r="A135" s="6" t="n">
        <v>3</v>
      </c>
      <c r="B135" s="15" t="n">
        <v>7147.5</v>
      </c>
      <c r="C135" s="15" t="n">
        <v>60.69</v>
      </c>
      <c r="D135" s="15" t="n">
        <v>51.91</v>
      </c>
      <c r="E135" s="15" t="n">
        <v>46.09</v>
      </c>
    </row>
    <row r="136">
      <c r="A136" s="6" t="n">
        <v>4</v>
      </c>
      <c r="B136" s="15" t="n">
        <v>7146.2</v>
      </c>
      <c r="C136" s="15" t="n">
        <v>61.02</v>
      </c>
      <c r="D136" s="15" t="n">
        <v>62.91</v>
      </c>
      <c r="E136" s="15" t="n">
        <v>56.8</v>
      </c>
    </row>
    <row r="137">
      <c r="A137" s="6" t="n">
        <v>5</v>
      </c>
      <c r="B137" s="15" t="n">
        <v>7146.2</v>
      </c>
      <c r="C137" s="15" t="n">
        <v>129.28</v>
      </c>
      <c r="D137" s="15" t="n">
        <v>75.66</v>
      </c>
      <c r="E137" s="15" t="n">
        <v>68.89</v>
      </c>
    </row>
    <row r="138">
      <c r="A138" s="6" t="n">
        <v>6</v>
      </c>
      <c r="B138" s="15" t="n">
        <v>7146.5</v>
      </c>
      <c r="C138" s="15" t="n">
        <v>120.69</v>
      </c>
      <c r="D138" s="15" t="n">
        <v>92.23</v>
      </c>
      <c r="E138" s="15" t="n">
        <v>84.14</v>
      </c>
    </row>
    <row r="139">
      <c r="A139" s="6" t="n">
        <v>7</v>
      </c>
      <c r="B139" s="15" t="n">
        <v>7146.7</v>
      </c>
      <c r="C139" s="15" t="n">
        <v>155.94</v>
      </c>
      <c r="D139" s="15" t="n">
        <v>113.26</v>
      </c>
      <c r="E139" s="15" t="n">
        <v>104.75</v>
      </c>
    </row>
    <row r="140">
      <c r="A140" s="6" t="n">
        <v>8</v>
      </c>
      <c r="B140" s="15" t="n">
        <v>7147.1</v>
      </c>
      <c r="C140" s="15" t="n">
        <v>164.78</v>
      </c>
      <c r="D140" s="15" t="n">
        <v>142.61</v>
      </c>
      <c r="E140" s="15" t="n">
        <v>135.04</v>
      </c>
    </row>
    <row r="141">
      <c r="A141" s="6" t="n">
        <v>9</v>
      </c>
      <c r="B141" s="15" t="n">
        <v>7146.3</v>
      </c>
      <c r="C141" s="15" t="n">
        <v>213.96</v>
      </c>
      <c r="D141" s="15" t="n">
        <v>192.99</v>
      </c>
      <c r="E141" s="15" t="n">
        <v>186.73</v>
      </c>
    </row>
    <row r="142">
      <c r="A142" s="6" t="n">
        <v>10</v>
      </c>
      <c r="B142" s="15" t="n">
        <v>7146.8</v>
      </c>
      <c r="C142" s="15" t="n">
        <v>1187.1</v>
      </c>
      <c r="D142" s="15" t="n">
        <v>387.72</v>
      </c>
      <c r="E142" s="15" t="n">
        <v>379.03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2026-09-08T01:18:31Z</dcterms:created>
  <dcterms:modified xsi:type="dcterms:W3CDTF">2026-09-08T01:18:31Z</dcterms:modified>
</cp:coreProperties>
</file>